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tems_DB" sheetId="2" state="visible" r:id="rId2"/>
    <sheet xmlns:r="http://schemas.openxmlformats.org/officeDocument/2006/relationships" name="Assemblies_DB" sheetId="3" state="visible" r:id="rId3"/>
    <sheet xmlns:r="http://schemas.openxmlformats.org/officeDocument/2006/relationships" name="Assembly_Builder" sheetId="4" state="visible" r:id="rId4"/>
    <sheet xmlns:r="http://schemas.openxmlformats.org/officeDocument/2006/relationships" name="Estimat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10" fontId="0" fillId="0" borderId="1" pivotButton="0" quotePrefix="0" xfId="0"/>
    <xf numFmtId="164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ItemsTable" displayName="ItemsTable" ref="A1:G26" headerRowCount="1">
  <autoFilter ref="A1:G26"/>
  <tableColumns count="7">
    <tableColumn id="1" name="Code"/>
    <tableColumn id="2" name="Project_Type"/>
    <tableColumn id="3" name="Category"/>
    <tableColumn id="4" name="Description"/>
    <tableColumn id="5" name="Unit"/>
    <tableColumn id="6" name="Unit_Cost"/>
    <tableColumn id="7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ssembliesTable" displayName="AssembliesTable" ref="A1:H28" headerRowCount="1">
  <autoFilter ref="A1:H28"/>
  <tableColumns count="8">
    <tableColumn id="1" name="Assembly_Code"/>
    <tableColumn id="2" name="Assembly_Name"/>
    <tableColumn id="3" name="Project_Type"/>
    <tableColumn id="4" name="Seq"/>
    <tableColumn id="5" name="Key"/>
    <tableColumn id="6" name="Item_Code"/>
    <tableColumn id="7" name="Factor_Qty"/>
    <tableColumn id="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18" customWidth="1" min="4" max="4"/>
    <col width="12" customWidth="1" min="6" max="6"/>
  </cols>
  <sheetData>
    <row r="1">
      <c r="A1" s="1" t="inlineStr">
        <is>
          <t>Excel Estimating Mini-Repo — Locale-Safe (EN formulas)</t>
        </is>
      </c>
    </row>
    <row r="3">
      <c r="A3" s="2" t="inlineStr">
        <is>
          <t>Project ID</t>
        </is>
      </c>
      <c r="B3" s="3" t="inlineStr">
        <is>
          <t>PRJ-DEMO-ENSAFE-001</t>
        </is>
      </c>
      <c r="D3" s="4" t="inlineStr">
        <is>
          <t>Lists</t>
        </is>
      </c>
      <c r="F3" s="4" t="inlineStr">
        <is>
          <t>Months</t>
        </is>
      </c>
    </row>
    <row r="4">
      <c r="A4" s="2" t="inlineStr">
        <is>
          <t>Project Name</t>
        </is>
      </c>
      <c r="B4" s="3" t="inlineStr">
        <is>
          <t>Residential Pool + Outdoor Living (Demo)</t>
        </is>
      </c>
    </row>
    <row r="5">
      <c r="A5" s="2" t="inlineStr">
        <is>
          <t>Client</t>
        </is>
      </c>
      <c r="B5" s="3" t="inlineStr">
        <is>
          <t>Demo Client</t>
        </is>
      </c>
      <c r="D5" t="inlineStr">
        <is>
          <t>Percent</t>
        </is>
      </c>
      <c r="F5" t="inlineStr">
        <is>
          <t>2026-01</t>
        </is>
      </c>
    </row>
    <row r="6">
      <c r="A6" s="2" t="inlineStr">
        <is>
          <t>Location</t>
        </is>
      </c>
      <c r="B6" s="3" t="inlineStr">
        <is>
          <t>USA</t>
        </is>
      </c>
      <c r="D6" t="inlineStr">
        <is>
          <t>Weekly</t>
        </is>
      </c>
      <c r="F6" t="inlineStr">
        <is>
          <t>2026-02</t>
        </is>
      </c>
    </row>
    <row r="7">
      <c r="A7" s="2" t="inlineStr">
        <is>
          <t>Estimate Date</t>
        </is>
      </c>
      <c r="B7" s="3" t="inlineStr">
        <is>
          <t>2026-01-22</t>
        </is>
      </c>
      <c r="F7" t="inlineStr">
        <is>
          <t>2026-03</t>
        </is>
      </c>
    </row>
    <row r="8">
      <c r="A8" s="2" t="inlineStr">
        <is>
          <t>Overhead Method</t>
        </is>
      </c>
      <c r="B8" s="3" t="inlineStr">
        <is>
          <t>Percent</t>
        </is>
      </c>
      <c r="D8" t="inlineStr">
        <is>
          <t>ASM-POOL-CORE</t>
        </is>
      </c>
      <c r="F8" t="inlineStr">
        <is>
          <t>2026-04</t>
        </is>
      </c>
    </row>
    <row r="9">
      <c r="A9" s="2" t="inlineStr">
        <is>
          <t>Overhead %</t>
        </is>
      </c>
      <c r="B9" s="5" t="n">
        <v>0.12</v>
      </c>
      <c r="D9" t="inlineStr">
        <is>
          <t>ASM-POOL-FIN</t>
        </is>
      </c>
      <c r="F9" t="inlineStr">
        <is>
          <t>2026-05</t>
        </is>
      </c>
    </row>
    <row r="10">
      <c r="A10" s="2" t="inlineStr">
        <is>
          <t>Weekly Indirects (USD)</t>
        </is>
      </c>
      <c r="B10" s="6" t="n">
        <v>1850</v>
      </c>
      <c r="D10" t="inlineStr">
        <is>
          <t>ASM-LAND</t>
        </is>
      </c>
      <c r="F10" t="inlineStr">
        <is>
          <t>2026-06</t>
        </is>
      </c>
    </row>
    <row r="11">
      <c r="A11" s="2" t="inlineStr">
        <is>
          <t>Duration (weeks)</t>
        </is>
      </c>
      <c r="B11" s="3" t="n">
        <v>8</v>
      </c>
      <c r="D11" t="inlineStr">
        <is>
          <t>ASM-LIGHT</t>
        </is>
      </c>
      <c r="F11" t="inlineStr">
        <is>
          <t>2026-07</t>
        </is>
      </c>
    </row>
    <row r="12">
      <c r="A12" s="2" t="inlineStr">
        <is>
          <t>Profit %</t>
        </is>
      </c>
      <c r="B12" s="5" t="n">
        <v>0.15</v>
      </c>
      <c r="D12" t="inlineStr">
        <is>
          <t>ASM-EQUIP</t>
        </is>
      </c>
      <c r="F12" t="inlineStr">
        <is>
          <t>2026-08</t>
        </is>
      </c>
    </row>
    <row r="13">
      <c r="A13" s="2" t="inlineStr">
        <is>
          <t>Tax %</t>
        </is>
      </c>
      <c r="B13" s="5" t="n">
        <v>0.07000000000000001</v>
      </c>
      <c r="F13" t="inlineStr">
        <is>
          <t>2026-09</t>
        </is>
      </c>
    </row>
    <row r="14">
      <c r="F14" t="inlineStr">
        <is>
          <t>2026-10</t>
        </is>
      </c>
    </row>
    <row r="15">
      <c r="F15" t="inlineStr">
        <is>
          <t>2026-11</t>
        </is>
      </c>
    </row>
    <row r="16">
      <c r="F16" t="inlineStr">
        <is>
          <t>2026-12</t>
        </is>
      </c>
    </row>
  </sheetData>
  <dataValidations count="1">
    <dataValidation sqref="B8" showDropDown="0" showInputMessage="0" showErrorMessage="0" allowBlank="0" type="list">
      <formula1>=Inputs!$D$5:$D$6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2" customWidth="1" min="4" max="4"/>
    <col width="8" customWidth="1" min="5" max="5"/>
    <col width="12" customWidth="1" min="6" max="6"/>
    <col width="16" customWidth="1" min="7" max="7"/>
  </cols>
  <sheetData>
    <row r="1">
      <c r="A1" s="7" t="inlineStr">
        <is>
          <t>Code</t>
        </is>
      </c>
      <c r="B1" s="7" t="inlineStr">
        <is>
          <t>Project_Type</t>
        </is>
      </c>
      <c r="C1" s="7" t="inlineStr">
        <is>
          <t>Category</t>
        </is>
      </c>
      <c r="D1" s="7" t="inlineStr">
        <is>
          <t>Description</t>
        </is>
      </c>
      <c r="E1" s="7" t="inlineStr">
        <is>
          <t>Unit</t>
        </is>
      </c>
      <c r="F1" s="7" t="inlineStr">
        <is>
          <t>Unit_Cost</t>
        </is>
      </c>
      <c r="G1" s="7" t="inlineStr">
        <is>
          <t>Notes</t>
        </is>
      </c>
    </row>
    <row r="2">
      <c r="A2" s="3" t="inlineStr">
        <is>
          <t>EXC-001</t>
        </is>
      </c>
      <c r="B2" s="3" t="inlineStr">
        <is>
          <t>Residential</t>
        </is>
      </c>
      <c r="C2" s="3" t="inlineStr">
        <is>
          <t>SitePrep</t>
        </is>
      </c>
      <c r="D2" s="3" t="inlineStr">
        <is>
          <t>Layout &amp; site cleanup</t>
        </is>
      </c>
      <c r="E2" s="3" t="inlineStr">
        <is>
          <t>LS</t>
        </is>
      </c>
      <c r="F2" s="6" t="n">
        <v>850</v>
      </c>
      <c r="G2" s="3" t="inlineStr"/>
    </row>
    <row r="3">
      <c r="A3" s="3" t="inlineStr">
        <is>
          <t>EXC-002</t>
        </is>
      </c>
      <c r="B3" s="3" t="inlineStr">
        <is>
          <t>Residential</t>
        </is>
      </c>
      <c r="C3" s="3" t="inlineStr">
        <is>
          <t>Excavation</t>
        </is>
      </c>
      <c r="D3" s="3" t="inlineStr">
        <is>
          <t>Pool excavation</t>
        </is>
      </c>
      <c r="E3" s="3" t="inlineStr">
        <is>
          <t>CY</t>
        </is>
      </c>
      <c r="F3" s="6" t="n">
        <v>85</v>
      </c>
      <c r="G3" s="3" t="inlineStr"/>
    </row>
    <row r="4">
      <c r="A4" s="3" t="inlineStr">
        <is>
          <t>RBR-001</t>
        </is>
      </c>
      <c r="B4" s="3" t="inlineStr">
        <is>
          <t>Residential</t>
        </is>
      </c>
      <c r="C4" s="3" t="inlineStr">
        <is>
          <t>Structure</t>
        </is>
      </c>
      <c r="D4" s="3" t="inlineStr">
        <is>
          <t>Rebar supply &amp; install</t>
        </is>
      </c>
      <c r="E4" s="3" t="inlineStr">
        <is>
          <t>LB</t>
        </is>
      </c>
      <c r="F4" s="6" t="n">
        <v>2.2</v>
      </c>
      <c r="G4" s="3" t="inlineStr"/>
    </row>
    <row r="5">
      <c r="A5" s="3" t="inlineStr">
        <is>
          <t>GUN-001</t>
        </is>
      </c>
      <c r="B5" s="3" t="inlineStr">
        <is>
          <t>Residential</t>
        </is>
      </c>
      <c r="C5" s="3" t="inlineStr">
        <is>
          <t>Structure</t>
        </is>
      </c>
      <c r="D5" s="3" t="inlineStr">
        <is>
          <t>Gunite/shotcrete</t>
        </is>
      </c>
      <c r="E5" s="3" t="inlineStr">
        <is>
          <t>SF</t>
        </is>
      </c>
      <c r="F5" s="6" t="n">
        <v>18.5</v>
      </c>
      <c r="G5" s="3" t="inlineStr"/>
    </row>
    <row r="6">
      <c r="A6" s="3" t="inlineStr">
        <is>
          <t>PLM-001</t>
        </is>
      </c>
      <c r="B6" s="3" t="inlineStr">
        <is>
          <t>Residential</t>
        </is>
      </c>
      <c r="C6" s="3" t="inlineStr">
        <is>
          <t>MEP</t>
        </is>
      </c>
      <c r="D6" s="3" t="inlineStr">
        <is>
          <t>Plumbing (rough-in)</t>
        </is>
      </c>
      <c r="E6" s="3" t="inlineStr">
        <is>
          <t>LS</t>
        </is>
      </c>
      <c r="F6" s="6" t="n">
        <v>1750</v>
      </c>
      <c r="G6" s="3" t="inlineStr"/>
    </row>
    <row r="7">
      <c r="A7" s="3" t="inlineStr">
        <is>
          <t>ELC-001</t>
        </is>
      </c>
      <c r="B7" s="3" t="inlineStr">
        <is>
          <t>Residential</t>
        </is>
      </c>
      <c r="C7" s="3" t="inlineStr">
        <is>
          <t>MEP</t>
        </is>
      </c>
      <c r="D7" s="3" t="inlineStr">
        <is>
          <t>Electrical (rough-in)</t>
        </is>
      </c>
      <c r="E7" s="3" t="inlineStr">
        <is>
          <t>LS</t>
        </is>
      </c>
      <c r="F7" s="6" t="n">
        <v>1450</v>
      </c>
      <c r="G7" s="3" t="inlineStr"/>
    </row>
    <row r="8">
      <c r="A8" s="3" t="inlineStr">
        <is>
          <t>TIL-001</t>
        </is>
      </c>
      <c r="B8" s="3" t="inlineStr">
        <is>
          <t>Residential</t>
        </is>
      </c>
      <c r="C8" s="3" t="inlineStr">
        <is>
          <t>Finishes</t>
        </is>
      </c>
      <c r="D8" s="3" t="inlineStr">
        <is>
          <t>Waterline tile</t>
        </is>
      </c>
      <c r="E8" s="3" t="inlineStr">
        <is>
          <t>LF</t>
        </is>
      </c>
      <c r="F8" s="6" t="n">
        <v>22</v>
      </c>
      <c r="G8" s="3" t="inlineStr"/>
    </row>
    <row r="9">
      <c r="A9" s="3" t="inlineStr">
        <is>
          <t>COP-001</t>
        </is>
      </c>
      <c r="B9" s="3" t="inlineStr">
        <is>
          <t>Residential</t>
        </is>
      </c>
      <c r="C9" s="3" t="inlineStr">
        <is>
          <t>Finishes</t>
        </is>
      </c>
      <c r="D9" s="3" t="inlineStr">
        <is>
          <t>Stone coping</t>
        </is>
      </c>
      <c r="E9" s="3" t="inlineStr">
        <is>
          <t>LF</t>
        </is>
      </c>
      <c r="F9" s="6" t="n">
        <v>38</v>
      </c>
      <c r="G9" s="3" t="inlineStr"/>
    </row>
    <row r="10">
      <c r="A10" s="3" t="inlineStr">
        <is>
          <t>DEC-001</t>
        </is>
      </c>
      <c r="B10" s="3" t="inlineStr">
        <is>
          <t>Residential</t>
        </is>
      </c>
      <c r="C10" s="3" t="inlineStr">
        <is>
          <t>Finishes</t>
        </is>
      </c>
      <c r="D10" s="3" t="inlineStr">
        <is>
          <t>Concrete deck</t>
        </is>
      </c>
      <c r="E10" s="3" t="inlineStr">
        <is>
          <t>SF</t>
        </is>
      </c>
      <c r="F10" s="6" t="n">
        <v>12.5</v>
      </c>
      <c r="G10" s="3" t="inlineStr"/>
    </row>
    <row r="11">
      <c r="A11" s="3" t="inlineStr">
        <is>
          <t>EQT-001</t>
        </is>
      </c>
      <c r="B11" s="3" t="inlineStr">
        <is>
          <t>Residential</t>
        </is>
      </c>
      <c r="C11" s="3" t="inlineStr">
        <is>
          <t>Equipment</t>
        </is>
      </c>
      <c r="D11" s="3" t="inlineStr">
        <is>
          <t>Pump + filter</t>
        </is>
      </c>
      <c r="E11" s="3" t="inlineStr">
        <is>
          <t>EA</t>
        </is>
      </c>
      <c r="F11" s="6" t="n">
        <v>2850</v>
      </c>
      <c r="G11" s="3" t="inlineStr"/>
    </row>
    <row r="12">
      <c r="A12" s="3" t="inlineStr">
        <is>
          <t>LGT-001</t>
        </is>
      </c>
      <c r="B12" s="3" t="inlineStr">
        <is>
          <t>Residential</t>
        </is>
      </c>
      <c r="C12" s="3" t="inlineStr">
        <is>
          <t>Lighting</t>
        </is>
      </c>
      <c r="D12" s="3" t="inlineStr">
        <is>
          <t>Pool LED lights</t>
        </is>
      </c>
      <c r="E12" s="3" t="inlineStr">
        <is>
          <t>EA</t>
        </is>
      </c>
      <c r="F12" s="6" t="n">
        <v>275</v>
      </c>
      <c r="G12" s="3" t="inlineStr"/>
    </row>
    <row r="13">
      <c r="A13" s="3" t="inlineStr">
        <is>
          <t>PRM-001</t>
        </is>
      </c>
      <c r="B13" s="3" t="inlineStr">
        <is>
          <t>Residential</t>
        </is>
      </c>
      <c r="C13" s="3" t="inlineStr">
        <is>
          <t>Permits</t>
        </is>
      </c>
      <c r="D13" s="3" t="inlineStr">
        <is>
          <t>Permits &amp; inspections</t>
        </is>
      </c>
      <c r="E13" s="3" t="inlineStr">
        <is>
          <t>LS</t>
        </is>
      </c>
      <c r="F13" s="6" t="n">
        <v>650</v>
      </c>
      <c r="G13" s="3" t="inlineStr"/>
    </row>
    <row r="14">
      <c r="A14" s="3" t="inlineStr">
        <is>
          <t>LND-001</t>
        </is>
      </c>
      <c r="B14" s="3" t="inlineStr">
        <is>
          <t>Residential</t>
        </is>
      </c>
      <c r="C14" s="3" t="inlineStr">
        <is>
          <t>Landscaping</t>
        </is>
      </c>
      <c r="D14" s="3" t="inlineStr">
        <is>
          <t>Light grading / site prep</t>
        </is>
      </c>
      <c r="E14" s="3" t="inlineStr">
        <is>
          <t>LS</t>
        </is>
      </c>
      <c r="F14" s="6" t="n">
        <v>650</v>
      </c>
      <c r="G14" s="3" t="inlineStr"/>
    </row>
    <row r="15">
      <c r="A15" s="3" t="inlineStr">
        <is>
          <t>LND-002</t>
        </is>
      </c>
      <c r="B15" s="3" t="inlineStr">
        <is>
          <t>Residential</t>
        </is>
      </c>
      <c r="C15" s="3" t="inlineStr">
        <is>
          <t>Landscaping</t>
        </is>
      </c>
      <c r="D15" s="3" t="inlineStr">
        <is>
          <t>Topsoil / mulch (supply + place)</t>
        </is>
      </c>
      <c r="E15" s="3" t="inlineStr">
        <is>
          <t>CY</t>
        </is>
      </c>
      <c r="F15" s="6" t="n">
        <v>55</v>
      </c>
      <c r="G15" s="3" t="inlineStr"/>
    </row>
    <row r="16">
      <c r="A16" s="3" t="inlineStr">
        <is>
          <t>LND-003</t>
        </is>
      </c>
      <c r="B16" s="3" t="inlineStr">
        <is>
          <t>Residential</t>
        </is>
      </c>
      <c r="C16" s="3" t="inlineStr">
        <is>
          <t>Landscaping</t>
        </is>
      </c>
      <c r="D16" s="3" t="inlineStr">
        <is>
          <t>Sod installation</t>
        </is>
      </c>
      <c r="E16" s="3" t="inlineStr">
        <is>
          <t>SF</t>
        </is>
      </c>
      <c r="F16" s="6" t="n">
        <v>1.25</v>
      </c>
      <c r="G16" s="3" t="inlineStr"/>
    </row>
    <row r="17">
      <c r="A17" s="3" t="inlineStr">
        <is>
          <t>LND-004</t>
        </is>
      </c>
      <c r="B17" s="3" t="inlineStr">
        <is>
          <t>Residential</t>
        </is>
      </c>
      <c r="C17" s="3" t="inlineStr">
        <is>
          <t>Landscaping</t>
        </is>
      </c>
      <c r="D17" s="3" t="inlineStr">
        <is>
          <t>Ornamental plants (avg)</t>
        </is>
      </c>
      <c r="E17" s="3" t="inlineStr">
        <is>
          <t>EA</t>
        </is>
      </c>
      <c r="F17" s="6" t="n">
        <v>18</v>
      </c>
      <c r="G17" s="3" t="inlineStr"/>
    </row>
    <row r="18">
      <c r="A18" s="3" t="inlineStr">
        <is>
          <t>LND-005</t>
        </is>
      </c>
      <c r="B18" s="3" t="inlineStr">
        <is>
          <t>Residential</t>
        </is>
      </c>
      <c r="C18" s="3" t="inlineStr">
        <is>
          <t>Landscaping</t>
        </is>
      </c>
      <c r="D18" s="3" t="inlineStr">
        <is>
          <t>Basic irrigation install</t>
        </is>
      </c>
      <c r="E18" s="3" t="inlineStr">
        <is>
          <t>LS</t>
        </is>
      </c>
      <c r="F18" s="6" t="n">
        <v>1350</v>
      </c>
      <c r="G18" s="3" t="inlineStr"/>
    </row>
    <row r="19">
      <c r="A19" s="3" t="inlineStr">
        <is>
          <t>LGT-002</t>
        </is>
      </c>
      <c r="B19" s="3" t="inlineStr">
        <is>
          <t>Residential</t>
        </is>
      </c>
      <c r="C19" s="3" t="inlineStr">
        <is>
          <t>Lighting</t>
        </is>
      </c>
      <c r="D19" s="3" t="inlineStr">
        <is>
          <t>Path lights</t>
        </is>
      </c>
      <c r="E19" s="3" t="inlineStr">
        <is>
          <t>EA</t>
        </is>
      </c>
      <c r="F19" s="6" t="n">
        <v>95</v>
      </c>
      <c r="G19" s="3" t="inlineStr"/>
    </row>
    <row r="20">
      <c r="A20" s="3" t="inlineStr">
        <is>
          <t>LGT-003</t>
        </is>
      </c>
      <c r="B20" s="3" t="inlineStr">
        <is>
          <t>Residential</t>
        </is>
      </c>
      <c r="C20" s="3" t="inlineStr">
        <is>
          <t>Lighting</t>
        </is>
      </c>
      <c r="D20" s="3" t="inlineStr">
        <is>
          <t>Low-voltage transformer</t>
        </is>
      </c>
      <c r="E20" s="3" t="inlineStr">
        <is>
          <t>EA</t>
        </is>
      </c>
      <c r="F20" s="6" t="n">
        <v>220</v>
      </c>
      <c r="G20" s="3" t="inlineStr"/>
    </row>
    <row r="21">
      <c r="A21" s="3" t="inlineStr">
        <is>
          <t>LGT-004</t>
        </is>
      </c>
      <c r="B21" s="3" t="inlineStr">
        <is>
          <t>Residential</t>
        </is>
      </c>
      <c r="C21" s="3" t="inlineStr">
        <is>
          <t>Lighting</t>
        </is>
      </c>
      <c r="D21" s="3" t="inlineStr">
        <is>
          <t>Outdoor wiring / conduit (avg)</t>
        </is>
      </c>
      <c r="E21" s="3" t="inlineStr">
        <is>
          <t>LF</t>
        </is>
      </c>
      <c r="F21" s="6" t="n">
        <v>2.1</v>
      </c>
      <c r="G21" s="3" t="inlineStr"/>
    </row>
    <row r="22">
      <c r="A22" s="3" t="inlineStr">
        <is>
          <t>LGT-005</t>
        </is>
      </c>
      <c r="B22" s="3" t="inlineStr">
        <is>
          <t>Residential</t>
        </is>
      </c>
      <c r="C22" s="3" t="inlineStr">
        <is>
          <t>Lighting</t>
        </is>
      </c>
      <c r="D22" s="3" t="inlineStr">
        <is>
          <t>Photocell / outdoor timer</t>
        </is>
      </c>
      <c r="E22" s="3" t="inlineStr">
        <is>
          <t>EA</t>
        </is>
      </c>
      <c r="F22" s="6" t="n">
        <v>85</v>
      </c>
      <c r="G22" s="3" t="inlineStr"/>
    </row>
    <row r="23">
      <c r="A23" s="3" t="inlineStr">
        <is>
          <t>EQT-002</t>
        </is>
      </c>
      <c r="B23" s="3" t="inlineStr">
        <is>
          <t>Residential</t>
        </is>
      </c>
      <c r="C23" s="3" t="inlineStr">
        <is>
          <t>Equipment</t>
        </is>
      </c>
      <c r="D23" s="3" t="inlineStr">
        <is>
          <t>Pool heater</t>
        </is>
      </c>
      <c r="E23" s="3" t="inlineStr">
        <is>
          <t>EA</t>
        </is>
      </c>
      <c r="F23" s="6" t="n">
        <v>2450</v>
      </c>
      <c r="G23" s="3" t="inlineStr"/>
    </row>
    <row r="24">
      <c r="A24" s="3" t="inlineStr">
        <is>
          <t>EQT-003</t>
        </is>
      </c>
      <c r="B24" s="3" t="inlineStr">
        <is>
          <t>Residential</t>
        </is>
      </c>
      <c r="C24" s="3" t="inlineStr">
        <is>
          <t>Equipment</t>
        </is>
      </c>
      <c r="D24" s="3" t="inlineStr">
        <is>
          <t>Salt chlorination system</t>
        </is>
      </c>
      <c r="E24" s="3" t="inlineStr">
        <is>
          <t>EA</t>
        </is>
      </c>
      <c r="F24" s="6" t="n">
        <v>1250</v>
      </c>
      <c r="G24" s="3" t="inlineStr"/>
    </row>
    <row r="25">
      <c r="A25" s="3" t="inlineStr">
        <is>
          <t>EQT-004</t>
        </is>
      </c>
      <c r="B25" s="3" t="inlineStr">
        <is>
          <t>Residential</t>
        </is>
      </c>
      <c r="C25" s="3" t="inlineStr">
        <is>
          <t>Equipment</t>
        </is>
      </c>
      <c r="D25" s="3" t="inlineStr">
        <is>
          <t>Skimmer / drains (set)</t>
        </is>
      </c>
      <c r="E25" s="3" t="inlineStr">
        <is>
          <t>SET</t>
        </is>
      </c>
      <c r="F25" s="6" t="n">
        <v>320</v>
      </c>
      <c r="G25" s="3" t="inlineStr"/>
    </row>
    <row r="26">
      <c r="A26" s="3" t="inlineStr">
        <is>
          <t>EQT-005</t>
        </is>
      </c>
      <c r="B26" s="3" t="inlineStr">
        <is>
          <t>Residential</t>
        </is>
      </c>
      <c r="C26" s="3" t="inlineStr">
        <is>
          <t>Equipment</t>
        </is>
      </c>
      <c r="D26" s="3" t="inlineStr">
        <is>
          <t>PVC pipe + fittings (avg)</t>
        </is>
      </c>
      <c r="E26" s="3" t="inlineStr">
        <is>
          <t>LF</t>
        </is>
      </c>
      <c r="F26" s="6" t="n">
        <v>4.25</v>
      </c>
      <c r="G26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6" customWidth="1" min="4" max="4"/>
    <col width="18" customWidth="1" min="5" max="5"/>
    <col width="12" customWidth="1" min="6" max="6"/>
    <col width="12" customWidth="1" min="7" max="7"/>
    <col width="14" customWidth="1" min="8" max="8"/>
  </cols>
  <sheetData>
    <row r="1">
      <c r="A1" s="7" t="inlineStr">
        <is>
          <t>Assembly_Code</t>
        </is>
      </c>
      <c r="B1" s="7" t="inlineStr">
        <is>
          <t>Assembly_Name</t>
        </is>
      </c>
      <c r="C1" s="7" t="inlineStr">
        <is>
          <t>Project_Type</t>
        </is>
      </c>
      <c r="D1" s="7" t="inlineStr">
        <is>
          <t>Seq</t>
        </is>
      </c>
      <c r="E1" s="7" t="inlineStr">
        <is>
          <t>Key</t>
        </is>
      </c>
      <c r="F1" s="7" t="inlineStr">
        <is>
          <t>Item_Code</t>
        </is>
      </c>
      <c r="G1" s="7" t="inlineStr">
        <is>
          <t>Factor_Qty</t>
        </is>
      </c>
      <c r="H1" s="7" t="inlineStr">
        <is>
          <t>Notes</t>
        </is>
      </c>
    </row>
    <row r="2">
      <c r="A2" s="3" t="inlineStr">
        <is>
          <t>ASM-POOL-CORE</t>
        </is>
      </c>
      <c r="B2" s="3" t="inlineStr">
        <is>
          <t>Pool Core Package</t>
        </is>
      </c>
      <c r="C2" s="3" t="inlineStr">
        <is>
          <t>Residential</t>
        </is>
      </c>
      <c r="D2" s="3" t="n">
        <v>1</v>
      </c>
      <c r="E2" s="3" t="inlineStr">
        <is>
          <t>ASM-POOL-CORE|01</t>
        </is>
      </c>
      <c r="F2" s="3" t="inlineStr">
        <is>
          <t>EXC-001</t>
        </is>
      </c>
      <c r="G2" s="3" t="n">
        <v>1</v>
      </c>
      <c r="H2" s="3" t="inlineStr"/>
    </row>
    <row r="3">
      <c r="A3" s="3" t="inlineStr">
        <is>
          <t>ASM-POOL-CORE</t>
        </is>
      </c>
      <c r="B3" s="3" t="inlineStr">
        <is>
          <t>Pool Core Package</t>
        </is>
      </c>
      <c r="C3" s="3" t="inlineStr">
        <is>
          <t>Residential</t>
        </is>
      </c>
      <c r="D3" s="3" t="n">
        <v>2</v>
      </c>
      <c r="E3" s="3" t="inlineStr">
        <is>
          <t>ASM-POOL-CORE|02</t>
        </is>
      </c>
      <c r="F3" s="3" t="inlineStr">
        <is>
          <t>EXC-002</t>
        </is>
      </c>
      <c r="G3" s="3" t="n">
        <v>35</v>
      </c>
      <c r="H3" s="3" t="inlineStr"/>
    </row>
    <row r="4">
      <c r="A4" s="3" t="inlineStr">
        <is>
          <t>ASM-POOL-CORE</t>
        </is>
      </c>
      <c r="B4" s="3" t="inlineStr">
        <is>
          <t>Pool Core Package</t>
        </is>
      </c>
      <c r="C4" s="3" t="inlineStr">
        <is>
          <t>Residential</t>
        </is>
      </c>
      <c r="D4" s="3" t="n">
        <v>3</v>
      </c>
      <c r="E4" s="3" t="inlineStr">
        <is>
          <t>ASM-POOL-CORE|03</t>
        </is>
      </c>
      <c r="F4" s="3" t="inlineStr">
        <is>
          <t>RBR-001</t>
        </is>
      </c>
      <c r="G4" s="3" t="n">
        <v>1200</v>
      </c>
      <c r="H4" s="3" t="inlineStr"/>
    </row>
    <row r="5">
      <c r="A5" s="3" t="inlineStr">
        <is>
          <t>ASM-POOL-CORE</t>
        </is>
      </c>
      <c r="B5" s="3" t="inlineStr">
        <is>
          <t>Pool Core Package</t>
        </is>
      </c>
      <c r="C5" s="3" t="inlineStr">
        <is>
          <t>Residential</t>
        </is>
      </c>
      <c r="D5" s="3" t="n">
        <v>4</v>
      </c>
      <c r="E5" s="3" t="inlineStr">
        <is>
          <t>ASM-POOL-CORE|04</t>
        </is>
      </c>
      <c r="F5" s="3" t="inlineStr">
        <is>
          <t>GUN-001</t>
        </is>
      </c>
      <c r="G5" s="3" t="n">
        <v>780</v>
      </c>
      <c r="H5" s="3" t="inlineStr"/>
    </row>
    <row r="6">
      <c r="A6" s="3" t="inlineStr">
        <is>
          <t>ASM-POOL-CORE</t>
        </is>
      </c>
      <c r="B6" s="3" t="inlineStr">
        <is>
          <t>Pool Core Package</t>
        </is>
      </c>
      <c r="C6" s="3" t="inlineStr">
        <is>
          <t>Residential</t>
        </is>
      </c>
      <c r="D6" s="3" t="n">
        <v>5</v>
      </c>
      <c r="E6" s="3" t="inlineStr">
        <is>
          <t>ASM-POOL-CORE|05</t>
        </is>
      </c>
      <c r="F6" s="3" t="inlineStr">
        <is>
          <t>PLM-001</t>
        </is>
      </c>
      <c r="G6" s="3" t="n">
        <v>1</v>
      </c>
      <c r="H6" s="3" t="inlineStr"/>
    </row>
    <row r="7">
      <c r="A7" s="3" t="inlineStr">
        <is>
          <t>ASM-POOL-CORE</t>
        </is>
      </c>
      <c r="B7" s="3" t="inlineStr">
        <is>
          <t>Pool Core Package</t>
        </is>
      </c>
      <c r="C7" s="3" t="inlineStr">
        <is>
          <t>Residential</t>
        </is>
      </c>
      <c r="D7" s="3" t="n">
        <v>6</v>
      </c>
      <c r="E7" s="3" t="inlineStr">
        <is>
          <t>ASM-POOL-CORE|06</t>
        </is>
      </c>
      <c r="F7" s="3" t="inlineStr">
        <is>
          <t>ELC-001</t>
        </is>
      </c>
      <c r="G7" s="3" t="n">
        <v>1</v>
      </c>
      <c r="H7" s="3" t="inlineStr"/>
    </row>
    <row r="8">
      <c r="A8" s="3" t="inlineStr">
        <is>
          <t>ASM-POOL-FIN</t>
        </is>
      </c>
      <c r="B8" s="3" t="inlineStr">
        <is>
          <t>Pool Finishes Package</t>
        </is>
      </c>
      <c r="C8" s="3" t="inlineStr">
        <is>
          <t>Residential</t>
        </is>
      </c>
      <c r="D8" s="3" t="n">
        <v>1</v>
      </c>
      <c r="E8" s="3" t="inlineStr">
        <is>
          <t>ASM-POOL-FIN|01</t>
        </is>
      </c>
      <c r="F8" s="3" t="inlineStr">
        <is>
          <t>TIL-001</t>
        </is>
      </c>
      <c r="G8" s="3" t="n">
        <v>65</v>
      </c>
      <c r="H8" s="3" t="inlineStr"/>
    </row>
    <row r="9">
      <c r="A9" s="3" t="inlineStr">
        <is>
          <t>ASM-POOL-FIN</t>
        </is>
      </c>
      <c r="B9" s="3" t="inlineStr">
        <is>
          <t>Pool Finishes Package</t>
        </is>
      </c>
      <c r="C9" s="3" t="inlineStr">
        <is>
          <t>Residential</t>
        </is>
      </c>
      <c r="D9" s="3" t="n">
        <v>2</v>
      </c>
      <c r="E9" s="3" t="inlineStr">
        <is>
          <t>ASM-POOL-FIN|02</t>
        </is>
      </c>
      <c r="F9" s="3" t="inlineStr">
        <is>
          <t>COP-001</t>
        </is>
      </c>
      <c r="G9" s="3" t="n">
        <v>65</v>
      </c>
      <c r="H9" s="3" t="inlineStr"/>
    </row>
    <row r="10">
      <c r="A10" s="3" t="inlineStr">
        <is>
          <t>ASM-POOL-FIN</t>
        </is>
      </c>
      <c r="B10" s="3" t="inlineStr">
        <is>
          <t>Pool Finishes Package</t>
        </is>
      </c>
      <c r="C10" s="3" t="inlineStr">
        <is>
          <t>Residential</t>
        </is>
      </c>
      <c r="D10" s="3" t="n">
        <v>3</v>
      </c>
      <c r="E10" s="3" t="inlineStr">
        <is>
          <t>ASM-POOL-FIN|03</t>
        </is>
      </c>
      <c r="F10" s="3" t="inlineStr">
        <is>
          <t>DEC-001</t>
        </is>
      </c>
      <c r="G10" s="3" t="n">
        <v>520</v>
      </c>
      <c r="H10" s="3" t="inlineStr"/>
    </row>
    <row r="11">
      <c r="A11" s="3" t="inlineStr">
        <is>
          <t>ASM-POOL-FIN</t>
        </is>
      </c>
      <c r="B11" s="3" t="inlineStr">
        <is>
          <t>Pool Finishes Package</t>
        </is>
      </c>
      <c r="C11" s="3" t="inlineStr">
        <is>
          <t>Residential</t>
        </is>
      </c>
      <c r="D11" s="3" t="n">
        <v>4</v>
      </c>
      <c r="E11" s="3" t="inlineStr">
        <is>
          <t>ASM-POOL-FIN|04</t>
        </is>
      </c>
      <c r="F11" s="3" t="inlineStr">
        <is>
          <t>EQT-001</t>
        </is>
      </c>
      <c r="G11" s="3" t="n">
        <v>1</v>
      </c>
      <c r="H11" s="3" t="inlineStr"/>
    </row>
    <row r="12">
      <c r="A12" s="3" t="inlineStr">
        <is>
          <t>ASM-POOL-FIN</t>
        </is>
      </c>
      <c r="B12" s="3" t="inlineStr">
        <is>
          <t>Pool Finishes Package</t>
        </is>
      </c>
      <c r="C12" s="3" t="inlineStr">
        <is>
          <t>Residential</t>
        </is>
      </c>
      <c r="D12" s="3" t="n">
        <v>5</v>
      </c>
      <c r="E12" s="3" t="inlineStr">
        <is>
          <t>ASM-POOL-FIN|05</t>
        </is>
      </c>
      <c r="F12" s="3" t="inlineStr">
        <is>
          <t>LGT-001</t>
        </is>
      </c>
      <c r="G12" s="3" t="n">
        <v>2</v>
      </c>
      <c r="H12" s="3" t="inlineStr"/>
    </row>
    <row r="13">
      <c r="A13" s="3" t="inlineStr">
        <is>
          <t>ASM-POOL-FIN</t>
        </is>
      </c>
      <c r="B13" s="3" t="inlineStr">
        <is>
          <t>Pool Finishes Package</t>
        </is>
      </c>
      <c r="C13" s="3" t="inlineStr">
        <is>
          <t>Residential</t>
        </is>
      </c>
      <c r="D13" s="3" t="n">
        <v>6</v>
      </c>
      <c r="E13" s="3" t="inlineStr">
        <is>
          <t>ASM-POOL-FIN|06</t>
        </is>
      </c>
      <c r="F13" s="3" t="inlineStr">
        <is>
          <t>PRM-001</t>
        </is>
      </c>
      <c r="G13" s="3" t="n">
        <v>1</v>
      </c>
      <c r="H13" s="3" t="inlineStr"/>
    </row>
    <row r="14">
      <c r="A14" s="3" t="inlineStr">
        <is>
          <t>ASM-LAND</t>
        </is>
      </c>
      <c r="B14" s="3" t="inlineStr">
        <is>
          <t>Landscaping Package</t>
        </is>
      </c>
      <c r="C14" s="3" t="inlineStr">
        <is>
          <t>Residential</t>
        </is>
      </c>
      <c r="D14" s="3" t="n">
        <v>1</v>
      </c>
      <c r="E14" s="3" t="inlineStr">
        <is>
          <t>ASM-LAND|01</t>
        </is>
      </c>
      <c r="F14" s="3" t="inlineStr">
        <is>
          <t>LND-001</t>
        </is>
      </c>
      <c r="G14" s="3" t="n">
        <v>1</v>
      </c>
      <c r="H14" s="3" t="inlineStr"/>
    </row>
    <row r="15">
      <c r="A15" s="3" t="inlineStr">
        <is>
          <t>ASM-LAND</t>
        </is>
      </c>
      <c r="B15" s="3" t="inlineStr">
        <is>
          <t>Landscaping Package</t>
        </is>
      </c>
      <c r="C15" s="3" t="inlineStr">
        <is>
          <t>Residential</t>
        </is>
      </c>
      <c r="D15" s="3" t="n">
        <v>2</v>
      </c>
      <c r="E15" s="3" t="inlineStr">
        <is>
          <t>ASM-LAND|02</t>
        </is>
      </c>
      <c r="F15" s="3" t="inlineStr">
        <is>
          <t>LND-002</t>
        </is>
      </c>
      <c r="G15" s="3" t="n">
        <v>6</v>
      </c>
      <c r="H15" s="3" t="inlineStr"/>
    </row>
    <row r="16">
      <c r="A16" s="3" t="inlineStr">
        <is>
          <t>ASM-LAND</t>
        </is>
      </c>
      <c r="B16" s="3" t="inlineStr">
        <is>
          <t>Landscaping Package</t>
        </is>
      </c>
      <c r="C16" s="3" t="inlineStr">
        <is>
          <t>Residential</t>
        </is>
      </c>
      <c r="D16" s="3" t="n">
        <v>3</v>
      </c>
      <c r="E16" s="3" t="inlineStr">
        <is>
          <t>ASM-LAND|03</t>
        </is>
      </c>
      <c r="F16" s="3" t="inlineStr">
        <is>
          <t>LND-003</t>
        </is>
      </c>
      <c r="G16" s="3" t="n">
        <v>2500</v>
      </c>
      <c r="H16" s="3" t="inlineStr"/>
    </row>
    <row r="17">
      <c r="A17" s="3" t="inlineStr">
        <is>
          <t>ASM-LAND</t>
        </is>
      </c>
      <c r="B17" s="3" t="inlineStr">
        <is>
          <t>Landscaping Package</t>
        </is>
      </c>
      <c r="C17" s="3" t="inlineStr">
        <is>
          <t>Residential</t>
        </is>
      </c>
      <c r="D17" s="3" t="n">
        <v>4</v>
      </c>
      <c r="E17" s="3" t="inlineStr">
        <is>
          <t>ASM-LAND|04</t>
        </is>
      </c>
      <c r="F17" s="3" t="inlineStr">
        <is>
          <t>LND-004</t>
        </is>
      </c>
      <c r="G17" s="3" t="n">
        <v>25</v>
      </c>
      <c r="H17" s="3" t="inlineStr"/>
    </row>
    <row r="18">
      <c r="A18" s="3" t="inlineStr">
        <is>
          <t>ASM-LAND</t>
        </is>
      </c>
      <c r="B18" s="3" t="inlineStr">
        <is>
          <t>Landscaping Package</t>
        </is>
      </c>
      <c r="C18" s="3" t="inlineStr">
        <is>
          <t>Residential</t>
        </is>
      </c>
      <c r="D18" s="3" t="n">
        <v>5</v>
      </c>
      <c r="E18" s="3" t="inlineStr">
        <is>
          <t>ASM-LAND|05</t>
        </is>
      </c>
      <c r="F18" s="3" t="inlineStr">
        <is>
          <t>LND-005</t>
        </is>
      </c>
      <c r="G18" s="3" t="n">
        <v>1</v>
      </c>
      <c r="H18" s="3" t="inlineStr"/>
    </row>
    <row r="19">
      <c r="A19" s="3" t="inlineStr">
        <is>
          <t>ASM-LIGHT</t>
        </is>
      </c>
      <c r="B19" s="3" t="inlineStr">
        <is>
          <t>Exterior Lighting Package</t>
        </is>
      </c>
      <c r="C19" s="3" t="inlineStr">
        <is>
          <t>Residential</t>
        </is>
      </c>
      <c r="D19" s="3" t="n">
        <v>1</v>
      </c>
      <c r="E19" s="3" t="inlineStr">
        <is>
          <t>ASM-LIGHT|01</t>
        </is>
      </c>
      <c r="F19" s="3" t="inlineStr">
        <is>
          <t>LGT-002</t>
        </is>
      </c>
      <c r="G19" s="3" t="n">
        <v>12</v>
      </c>
      <c r="H19" s="3" t="inlineStr"/>
    </row>
    <row r="20">
      <c r="A20" s="3" t="inlineStr">
        <is>
          <t>ASM-LIGHT</t>
        </is>
      </c>
      <c r="B20" s="3" t="inlineStr">
        <is>
          <t>Exterior Lighting Package</t>
        </is>
      </c>
      <c r="C20" s="3" t="inlineStr">
        <is>
          <t>Residential</t>
        </is>
      </c>
      <c r="D20" s="3" t="n">
        <v>2</v>
      </c>
      <c r="E20" s="3" t="inlineStr">
        <is>
          <t>ASM-LIGHT|02</t>
        </is>
      </c>
      <c r="F20" s="3" t="inlineStr">
        <is>
          <t>LGT-003</t>
        </is>
      </c>
      <c r="G20" s="3" t="n">
        <v>1</v>
      </c>
      <c r="H20" s="3" t="inlineStr"/>
    </row>
    <row r="21">
      <c r="A21" s="3" t="inlineStr">
        <is>
          <t>ASM-LIGHT</t>
        </is>
      </c>
      <c r="B21" s="3" t="inlineStr">
        <is>
          <t>Exterior Lighting Package</t>
        </is>
      </c>
      <c r="C21" s="3" t="inlineStr">
        <is>
          <t>Residential</t>
        </is>
      </c>
      <c r="D21" s="3" t="n">
        <v>3</v>
      </c>
      <c r="E21" s="3" t="inlineStr">
        <is>
          <t>ASM-LIGHT|03</t>
        </is>
      </c>
      <c r="F21" s="3" t="inlineStr">
        <is>
          <t>LGT-004</t>
        </is>
      </c>
      <c r="G21" s="3" t="n">
        <v>220</v>
      </c>
      <c r="H21" s="3" t="inlineStr"/>
    </row>
    <row r="22">
      <c r="A22" s="3" t="inlineStr">
        <is>
          <t>ASM-LIGHT</t>
        </is>
      </c>
      <c r="B22" s="3" t="inlineStr">
        <is>
          <t>Exterior Lighting Package</t>
        </is>
      </c>
      <c r="C22" s="3" t="inlineStr">
        <is>
          <t>Residential</t>
        </is>
      </c>
      <c r="D22" s="3" t="n">
        <v>4</v>
      </c>
      <c r="E22" s="3" t="inlineStr">
        <is>
          <t>ASM-LIGHT|04</t>
        </is>
      </c>
      <c r="F22" s="3" t="inlineStr">
        <is>
          <t>LGT-005</t>
        </is>
      </c>
      <c r="G22" s="3" t="n">
        <v>1</v>
      </c>
      <c r="H22" s="3" t="inlineStr"/>
    </row>
    <row r="23">
      <c r="A23" s="3" t="inlineStr">
        <is>
          <t>ASM-LIGHT</t>
        </is>
      </c>
      <c r="B23" s="3" t="inlineStr">
        <is>
          <t>Exterior Lighting Package</t>
        </is>
      </c>
      <c r="C23" s="3" t="inlineStr">
        <is>
          <t>Residential</t>
        </is>
      </c>
      <c r="D23" s="3" t="n">
        <v>5</v>
      </c>
      <c r="E23" s="3" t="inlineStr">
        <is>
          <t>ASM-LIGHT|05</t>
        </is>
      </c>
      <c r="F23" s="3" t="inlineStr">
        <is>
          <t>LGT-001</t>
        </is>
      </c>
      <c r="G23" s="3" t="n">
        <v>2</v>
      </c>
      <c r="H23" s="3" t="inlineStr"/>
    </row>
    <row r="24">
      <c r="A24" s="3" t="inlineStr">
        <is>
          <t>ASM-EQUIP</t>
        </is>
      </c>
      <c r="B24" s="3" t="inlineStr">
        <is>
          <t>Pool Equipment Package</t>
        </is>
      </c>
      <c r="C24" s="3" t="inlineStr">
        <is>
          <t>Residential</t>
        </is>
      </c>
      <c r="D24" s="3" t="n">
        <v>1</v>
      </c>
      <c r="E24" s="3" t="inlineStr">
        <is>
          <t>ASM-EQUIP|01</t>
        </is>
      </c>
      <c r="F24" s="3" t="inlineStr">
        <is>
          <t>EQT-001</t>
        </is>
      </c>
      <c r="G24" s="3" t="n">
        <v>1</v>
      </c>
      <c r="H24" s="3" t="inlineStr"/>
    </row>
    <row r="25">
      <c r="A25" s="3" t="inlineStr">
        <is>
          <t>ASM-EQUIP</t>
        </is>
      </c>
      <c r="B25" s="3" t="inlineStr">
        <is>
          <t>Pool Equipment Package</t>
        </is>
      </c>
      <c r="C25" s="3" t="inlineStr">
        <is>
          <t>Residential</t>
        </is>
      </c>
      <c r="D25" s="3" t="n">
        <v>2</v>
      </c>
      <c r="E25" s="3" t="inlineStr">
        <is>
          <t>ASM-EQUIP|02</t>
        </is>
      </c>
      <c r="F25" s="3" t="inlineStr">
        <is>
          <t>EQT-002</t>
        </is>
      </c>
      <c r="G25" s="3" t="n">
        <v>1</v>
      </c>
      <c r="H25" s="3" t="inlineStr"/>
    </row>
    <row r="26">
      <c r="A26" s="3" t="inlineStr">
        <is>
          <t>ASM-EQUIP</t>
        </is>
      </c>
      <c r="B26" s="3" t="inlineStr">
        <is>
          <t>Pool Equipment Package</t>
        </is>
      </c>
      <c r="C26" s="3" t="inlineStr">
        <is>
          <t>Residential</t>
        </is>
      </c>
      <c r="D26" s="3" t="n">
        <v>3</v>
      </c>
      <c r="E26" s="3" t="inlineStr">
        <is>
          <t>ASM-EQUIP|03</t>
        </is>
      </c>
      <c r="F26" s="3" t="inlineStr">
        <is>
          <t>EQT-003</t>
        </is>
      </c>
      <c r="G26" s="3" t="n">
        <v>1</v>
      </c>
      <c r="H26" s="3" t="inlineStr"/>
    </row>
    <row r="27">
      <c r="A27" s="3" t="inlineStr">
        <is>
          <t>ASM-EQUIP</t>
        </is>
      </c>
      <c r="B27" s="3" t="inlineStr">
        <is>
          <t>Pool Equipment Package</t>
        </is>
      </c>
      <c r="C27" s="3" t="inlineStr">
        <is>
          <t>Residential</t>
        </is>
      </c>
      <c r="D27" s="3" t="n">
        <v>4</v>
      </c>
      <c r="E27" s="3" t="inlineStr">
        <is>
          <t>ASM-EQUIP|04</t>
        </is>
      </c>
      <c r="F27" s="3" t="inlineStr">
        <is>
          <t>EQT-004</t>
        </is>
      </c>
      <c r="G27" s="3" t="n">
        <v>1</v>
      </c>
      <c r="H27" s="3" t="inlineStr"/>
    </row>
    <row r="28">
      <c r="A28" s="3" t="inlineStr">
        <is>
          <t>ASM-EQUIP</t>
        </is>
      </c>
      <c r="B28" s="3" t="inlineStr">
        <is>
          <t>Pool Equipment Package</t>
        </is>
      </c>
      <c r="C28" s="3" t="inlineStr">
        <is>
          <t>Residential</t>
        </is>
      </c>
      <c r="D28" s="3" t="n">
        <v>5</v>
      </c>
      <c r="E28" s="3" t="inlineStr">
        <is>
          <t>ASM-EQUIP|05</t>
        </is>
      </c>
      <c r="F28" s="3" t="inlineStr">
        <is>
          <t>EQT-005</t>
        </is>
      </c>
      <c r="G28" s="3" t="n">
        <v>180</v>
      </c>
      <c r="H28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42" customWidth="1" min="5" max="5"/>
    <col width="8" customWidth="1" min="6" max="6"/>
    <col width="12" customWidth="1" min="7" max="7"/>
    <col width="14" customWidth="1" min="8" max="8"/>
  </cols>
  <sheetData>
    <row r="1">
      <c r="A1" s="1" t="inlineStr">
        <is>
          <t>Assembly Builder — ROBUST (no arrays / no AGGREGATE)</t>
        </is>
      </c>
    </row>
    <row r="3">
      <c r="A3" s="8" t="inlineStr">
        <is>
          <t>Assembly Code</t>
        </is>
      </c>
      <c r="B3" t="inlineStr">
        <is>
          <t>ASM-POOL-CORE</t>
        </is>
      </c>
    </row>
    <row r="4">
      <c r="A4" s="8" t="inlineStr">
        <is>
          <t>Multiplier (Qty)</t>
        </is>
      </c>
      <c r="B4" t="n">
        <v>1</v>
      </c>
    </row>
    <row r="7">
      <c r="A7" s="7" t="inlineStr">
        <is>
          <t>Seq</t>
        </is>
      </c>
      <c r="B7" s="7" t="inlineStr">
        <is>
          <t>Item_Code</t>
        </is>
      </c>
      <c r="C7" s="7" t="inlineStr">
        <is>
          <t>Factor_Qty</t>
        </is>
      </c>
      <c r="D7" s="7" t="inlineStr">
        <is>
          <t>Qty</t>
        </is>
      </c>
      <c r="E7" s="7" t="inlineStr">
        <is>
          <t>Description</t>
        </is>
      </c>
      <c r="F7" s="7" t="inlineStr">
        <is>
          <t>Unit</t>
        </is>
      </c>
      <c r="G7" s="7" t="inlineStr">
        <is>
          <t>Unit_Cost</t>
        </is>
      </c>
      <c r="H7" s="7" t="inlineStr">
        <is>
          <t>Line_Total</t>
        </is>
      </c>
    </row>
    <row r="8">
      <c r="A8" s="3" t="n">
        <v>1</v>
      </c>
      <c r="B8" s="3">
        <f>IFERROR(VLOOKUP($B$3&amp;"|"&amp;TEXT($A8,"00"),Assemblies_DB!$E$2:$G$500,2,FALSE),"")</f>
        <v/>
      </c>
      <c r="C8" s="3">
        <f>IF($B8="","",IFERROR(VLOOKUP($B$3&amp;"|"&amp;TEXT($A8,"00"),Assemblies_DB!$E$2:$G$500,3,FALSE),""))</f>
        <v/>
      </c>
      <c r="D8" s="3">
        <f>IF($B8="","",$C8*$B$4)</f>
        <v/>
      </c>
      <c r="E8" s="9">
        <f>IFERROR(VLOOKUP($B8,Items_DB!$A$2:$F$500,4,FALSE),"")</f>
        <v/>
      </c>
      <c r="F8" s="3">
        <f>IFERROR(VLOOKUP($B8,Items_DB!$A$2:$F$500,5,FALSE),"")</f>
        <v/>
      </c>
      <c r="G8" s="6">
        <f>IFERROR(VLOOKUP($B8,Items_DB!$A$2:$F$500,6,FALSE),0)</f>
        <v/>
      </c>
      <c r="H8" s="6">
        <f>$D8*$G8</f>
        <v/>
      </c>
    </row>
    <row r="9">
      <c r="A9" s="3" t="n">
        <v>2</v>
      </c>
      <c r="B9" s="3">
        <f>IFERROR(VLOOKUP($B$3&amp;"|"&amp;TEXT($A9,"00"),Assemblies_DB!$E$2:$G$500,2,FALSE),"")</f>
        <v/>
      </c>
      <c r="C9" s="3">
        <f>IF($B9="","",IFERROR(VLOOKUP($B$3&amp;"|"&amp;TEXT($A9,"00"),Assemblies_DB!$E$2:$G$500,3,FALSE),""))</f>
        <v/>
      </c>
      <c r="D9" s="3">
        <f>IF($B9="","",$C9*$B$4)</f>
        <v/>
      </c>
      <c r="E9" s="9">
        <f>IFERROR(VLOOKUP($B9,Items_DB!$A$2:$F$500,4,FALSE),"")</f>
        <v/>
      </c>
      <c r="F9" s="3">
        <f>IFERROR(VLOOKUP($B9,Items_DB!$A$2:$F$500,5,FALSE),"")</f>
        <v/>
      </c>
      <c r="G9" s="6">
        <f>IFERROR(VLOOKUP($B9,Items_DB!$A$2:$F$500,6,FALSE),0)</f>
        <v/>
      </c>
      <c r="H9" s="6">
        <f>$D9*$G9</f>
        <v/>
      </c>
    </row>
    <row r="10">
      <c r="A10" s="3" t="n">
        <v>3</v>
      </c>
      <c r="B10" s="3">
        <f>IFERROR(VLOOKUP($B$3&amp;"|"&amp;TEXT($A10,"00"),Assemblies_DB!$E$2:$G$500,2,FALSE),"")</f>
        <v/>
      </c>
      <c r="C10" s="3">
        <f>IF($B10="","",IFERROR(VLOOKUP($B$3&amp;"|"&amp;TEXT($A10,"00"),Assemblies_DB!$E$2:$G$500,3,FALSE),""))</f>
        <v/>
      </c>
      <c r="D10" s="3">
        <f>IF($B10="","",$C10*$B$4)</f>
        <v/>
      </c>
      <c r="E10" s="9">
        <f>IFERROR(VLOOKUP($B10,Items_DB!$A$2:$F$500,4,FALSE),"")</f>
        <v/>
      </c>
      <c r="F10" s="3">
        <f>IFERROR(VLOOKUP($B10,Items_DB!$A$2:$F$500,5,FALSE),"")</f>
        <v/>
      </c>
      <c r="G10" s="6">
        <f>IFERROR(VLOOKUP($B10,Items_DB!$A$2:$F$500,6,FALSE),0)</f>
        <v/>
      </c>
      <c r="H10" s="6">
        <f>$D10*$G10</f>
        <v/>
      </c>
    </row>
    <row r="11">
      <c r="A11" s="3" t="n">
        <v>4</v>
      </c>
      <c r="B11" s="3">
        <f>IFERROR(VLOOKUP($B$3&amp;"|"&amp;TEXT($A11,"00"),Assemblies_DB!$E$2:$G$500,2,FALSE),"")</f>
        <v/>
      </c>
      <c r="C11" s="3">
        <f>IF($B11="","",IFERROR(VLOOKUP($B$3&amp;"|"&amp;TEXT($A11,"00"),Assemblies_DB!$E$2:$G$500,3,FALSE),""))</f>
        <v/>
      </c>
      <c r="D11" s="3">
        <f>IF($B11="","",$C11*$B$4)</f>
        <v/>
      </c>
      <c r="E11" s="9">
        <f>IFERROR(VLOOKUP($B11,Items_DB!$A$2:$F$500,4,FALSE),"")</f>
        <v/>
      </c>
      <c r="F11" s="3">
        <f>IFERROR(VLOOKUP($B11,Items_DB!$A$2:$F$500,5,FALSE),"")</f>
        <v/>
      </c>
      <c r="G11" s="6">
        <f>IFERROR(VLOOKUP($B11,Items_DB!$A$2:$F$500,6,FALSE),0)</f>
        <v/>
      </c>
      <c r="H11" s="6">
        <f>$D11*$G11</f>
        <v/>
      </c>
    </row>
    <row r="12">
      <c r="A12" s="3" t="n">
        <v>5</v>
      </c>
      <c r="B12" s="3">
        <f>IFERROR(VLOOKUP($B$3&amp;"|"&amp;TEXT($A12,"00"),Assemblies_DB!$E$2:$G$500,2,FALSE),"")</f>
        <v/>
      </c>
      <c r="C12" s="3">
        <f>IF($B12="","",IFERROR(VLOOKUP($B$3&amp;"|"&amp;TEXT($A12,"00"),Assemblies_DB!$E$2:$G$500,3,FALSE),""))</f>
        <v/>
      </c>
      <c r="D12" s="3">
        <f>IF($B12="","",$C12*$B$4)</f>
        <v/>
      </c>
      <c r="E12" s="9">
        <f>IFERROR(VLOOKUP($B12,Items_DB!$A$2:$F$500,4,FALSE),"")</f>
        <v/>
      </c>
      <c r="F12" s="3">
        <f>IFERROR(VLOOKUP($B12,Items_DB!$A$2:$F$500,5,FALSE),"")</f>
        <v/>
      </c>
      <c r="G12" s="6">
        <f>IFERROR(VLOOKUP($B12,Items_DB!$A$2:$F$500,6,FALSE),0)</f>
        <v/>
      </c>
      <c r="H12" s="6">
        <f>$D12*$G12</f>
        <v/>
      </c>
    </row>
    <row r="13">
      <c r="A13" s="3" t="n">
        <v>6</v>
      </c>
      <c r="B13" s="3">
        <f>IFERROR(VLOOKUP($B$3&amp;"|"&amp;TEXT($A13,"00"),Assemblies_DB!$E$2:$G$500,2,FALSE),"")</f>
        <v/>
      </c>
      <c r="C13" s="3">
        <f>IF($B13="","",IFERROR(VLOOKUP($B$3&amp;"|"&amp;TEXT($A13,"00"),Assemblies_DB!$E$2:$G$500,3,FALSE),""))</f>
        <v/>
      </c>
      <c r="D13" s="3">
        <f>IF($B13="","",$C13*$B$4)</f>
        <v/>
      </c>
      <c r="E13" s="9">
        <f>IFERROR(VLOOKUP($B13,Items_DB!$A$2:$F$500,4,FALSE),"")</f>
        <v/>
      </c>
      <c r="F13" s="3">
        <f>IFERROR(VLOOKUP($B13,Items_DB!$A$2:$F$500,5,FALSE),"")</f>
        <v/>
      </c>
      <c r="G13" s="6">
        <f>IFERROR(VLOOKUP($B13,Items_DB!$A$2:$F$500,6,FALSE),0)</f>
        <v/>
      </c>
      <c r="H13" s="6">
        <f>$D13*$G13</f>
        <v/>
      </c>
    </row>
    <row r="14">
      <c r="A14" s="3" t="n">
        <v>7</v>
      </c>
      <c r="B14" s="3">
        <f>IFERROR(VLOOKUP($B$3&amp;"|"&amp;TEXT($A14,"00"),Assemblies_DB!$E$2:$G$500,2,FALSE),"")</f>
        <v/>
      </c>
      <c r="C14" s="3">
        <f>IF($B14="","",IFERROR(VLOOKUP($B$3&amp;"|"&amp;TEXT($A14,"00"),Assemblies_DB!$E$2:$G$500,3,FALSE),""))</f>
        <v/>
      </c>
      <c r="D14" s="3">
        <f>IF($B14="","",$C14*$B$4)</f>
        <v/>
      </c>
      <c r="E14" s="9">
        <f>IFERROR(VLOOKUP($B14,Items_DB!$A$2:$F$500,4,FALSE),"")</f>
        <v/>
      </c>
      <c r="F14" s="3">
        <f>IFERROR(VLOOKUP($B14,Items_DB!$A$2:$F$500,5,FALSE),"")</f>
        <v/>
      </c>
      <c r="G14" s="6">
        <f>IFERROR(VLOOKUP($B14,Items_DB!$A$2:$F$500,6,FALSE),0)</f>
        <v/>
      </c>
      <c r="H14" s="6">
        <f>$D14*$G14</f>
        <v/>
      </c>
    </row>
    <row r="15">
      <c r="A15" s="3" t="n">
        <v>8</v>
      </c>
      <c r="B15" s="3">
        <f>IFERROR(VLOOKUP($B$3&amp;"|"&amp;TEXT($A15,"00"),Assemblies_DB!$E$2:$G$500,2,FALSE),"")</f>
        <v/>
      </c>
      <c r="C15" s="3">
        <f>IF($B15="","",IFERROR(VLOOKUP($B$3&amp;"|"&amp;TEXT($A15,"00"),Assemblies_DB!$E$2:$G$500,3,FALSE),""))</f>
        <v/>
      </c>
      <c r="D15" s="3">
        <f>IF($B15="","",$C15*$B$4)</f>
        <v/>
      </c>
      <c r="E15" s="9">
        <f>IFERROR(VLOOKUP($B15,Items_DB!$A$2:$F$500,4,FALSE),"")</f>
        <v/>
      </c>
      <c r="F15" s="3">
        <f>IFERROR(VLOOKUP($B15,Items_DB!$A$2:$F$500,5,FALSE),"")</f>
        <v/>
      </c>
      <c r="G15" s="6">
        <f>IFERROR(VLOOKUP($B15,Items_DB!$A$2:$F$500,6,FALSE),0)</f>
        <v/>
      </c>
      <c r="H15" s="6">
        <f>$D15*$G15</f>
        <v/>
      </c>
    </row>
    <row r="16">
      <c r="A16" s="3" t="n">
        <v>9</v>
      </c>
      <c r="B16" s="3">
        <f>IFERROR(VLOOKUP($B$3&amp;"|"&amp;TEXT($A16,"00"),Assemblies_DB!$E$2:$G$500,2,FALSE),"")</f>
        <v/>
      </c>
      <c r="C16" s="3">
        <f>IF($B16="","",IFERROR(VLOOKUP($B$3&amp;"|"&amp;TEXT($A16,"00"),Assemblies_DB!$E$2:$G$500,3,FALSE),""))</f>
        <v/>
      </c>
      <c r="D16" s="3">
        <f>IF($B16="","",$C16*$B$4)</f>
        <v/>
      </c>
      <c r="E16" s="9">
        <f>IFERROR(VLOOKUP($B16,Items_DB!$A$2:$F$500,4,FALSE),"")</f>
        <v/>
      </c>
      <c r="F16" s="3">
        <f>IFERROR(VLOOKUP($B16,Items_DB!$A$2:$F$500,5,FALSE),"")</f>
        <v/>
      </c>
      <c r="G16" s="6">
        <f>IFERROR(VLOOKUP($B16,Items_DB!$A$2:$F$500,6,FALSE),0)</f>
        <v/>
      </c>
      <c r="H16" s="6">
        <f>$D16*$G16</f>
        <v/>
      </c>
    </row>
    <row r="17">
      <c r="A17" s="3" t="n">
        <v>10</v>
      </c>
      <c r="B17" s="3">
        <f>IFERROR(VLOOKUP($B$3&amp;"|"&amp;TEXT($A17,"00"),Assemblies_DB!$E$2:$G$500,2,FALSE),"")</f>
        <v/>
      </c>
      <c r="C17" s="3">
        <f>IF($B17="","",IFERROR(VLOOKUP($B$3&amp;"|"&amp;TEXT($A17,"00"),Assemblies_DB!$E$2:$G$500,3,FALSE),""))</f>
        <v/>
      </c>
      <c r="D17" s="3">
        <f>IF($B17="","",$C17*$B$4)</f>
        <v/>
      </c>
      <c r="E17" s="9">
        <f>IFERROR(VLOOKUP($B17,Items_DB!$A$2:$F$500,4,FALSE),"")</f>
        <v/>
      </c>
      <c r="F17" s="3">
        <f>IFERROR(VLOOKUP($B17,Items_DB!$A$2:$F$500,5,FALSE),"")</f>
        <v/>
      </c>
      <c r="G17" s="6">
        <f>IFERROR(VLOOKUP($B17,Items_DB!$A$2:$F$500,6,FALSE),0)</f>
        <v/>
      </c>
      <c r="H17" s="6">
        <f>$D17*$G17</f>
        <v/>
      </c>
    </row>
    <row r="18">
      <c r="A18" s="3" t="n">
        <v>11</v>
      </c>
      <c r="B18" s="3">
        <f>IFERROR(VLOOKUP($B$3&amp;"|"&amp;TEXT($A18,"00"),Assemblies_DB!$E$2:$G$500,2,FALSE),"")</f>
        <v/>
      </c>
      <c r="C18" s="3">
        <f>IF($B18="","",IFERROR(VLOOKUP($B$3&amp;"|"&amp;TEXT($A18,"00"),Assemblies_DB!$E$2:$G$500,3,FALSE),""))</f>
        <v/>
      </c>
      <c r="D18" s="3">
        <f>IF($B18="","",$C18*$B$4)</f>
        <v/>
      </c>
      <c r="E18" s="9">
        <f>IFERROR(VLOOKUP($B18,Items_DB!$A$2:$F$500,4,FALSE),"")</f>
        <v/>
      </c>
      <c r="F18" s="3">
        <f>IFERROR(VLOOKUP($B18,Items_DB!$A$2:$F$500,5,FALSE),"")</f>
        <v/>
      </c>
      <c r="G18" s="6">
        <f>IFERROR(VLOOKUP($B18,Items_DB!$A$2:$F$500,6,FALSE),0)</f>
        <v/>
      </c>
      <c r="H18" s="6">
        <f>$D18*$G18</f>
        <v/>
      </c>
    </row>
    <row r="19">
      <c r="A19" s="3" t="n">
        <v>12</v>
      </c>
      <c r="B19" s="3">
        <f>IFERROR(VLOOKUP($B$3&amp;"|"&amp;TEXT($A19,"00"),Assemblies_DB!$E$2:$G$500,2,FALSE),"")</f>
        <v/>
      </c>
      <c r="C19" s="3">
        <f>IF($B19="","",IFERROR(VLOOKUP($B$3&amp;"|"&amp;TEXT($A19,"00"),Assemblies_DB!$E$2:$G$500,3,FALSE),""))</f>
        <v/>
      </c>
      <c r="D19" s="3">
        <f>IF($B19="","",$C19*$B$4)</f>
        <v/>
      </c>
      <c r="E19" s="9">
        <f>IFERROR(VLOOKUP($B19,Items_DB!$A$2:$F$500,4,FALSE),"")</f>
        <v/>
      </c>
      <c r="F19" s="3">
        <f>IFERROR(VLOOKUP($B19,Items_DB!$A$2:$F$500,5,FALSE),"")</f>
        <v/>
      </c>
      <c r="G19" s="6">
        <f>IFERROR(VLOOKUP($B19,Items_DB!$A$2:$F$500,6,FALSE),0)</f>
        <v/>
      </c>
      <c r="H19" s="6">
        <f>$D19*$G19</f>
        <v/>
      </c>
    </row>
    <row r="20">
      <c r="A20" s="3" t="n">
        <v>13</v>
      </c>
      <c r="B20" s="3">
        <f>IFERROR(VLOOKUP($B$3&amp;"|"&amp;TEXT($A20,"00"),Assemblies_DB!$E$2:$G$500,2,FALSE),"")</f>
        <v/>
      </c>
      <c r="C20" s="3">
        <f>IF($B20="","",IFERROR(VLOOKUP($B$3&amp;"|"&amp;TEXT($A20,"00"),Assemblies_DB!$E$2:$G$500,3,FALSE),""))</f>
        <v/>
      </c>
      <c r="D20" s="3">
        <f>IF($B20="","",$C20*$B$4)</f>
        <v/>
      </c>
      <c r="E20" s="9">
        <f>IFERROR(VLOOKUP($B20,Items_DB!$A$2:$F$500,4,FALSE),"")</f>
        <v/>
      </c>
      <c r="F20" s="3">
        <f>IFERROR(VLOOKUP($B20,Items_DB!$A$2:$F$500,5,FALSE),"")</f>
        <v/>
      </c>
      <c r="G20" s="6">
        <f>IFERROR(VLOOKUP($B20,Items_DB!$A$2:$F$500,6,FALSE),0)</f>
        <v/>
      </c>
      <c r="H20" s="6">
        <f>$D20*$G20</f>
        <v/>
      </c>
    </row>
    <row r="21">
      <c r="A21" s="3" t="n">
        <v>14</v>
      </c>
      <c r="B21" s="3">
        <f>IFERROR(VLOOKUP($B$3&amp;"|"&amp;TEXT($A21,"00"),Assemblies_DB!$E$2:$G$500,2,FALSE),"")</f>
        <v/>
      </c>
      <c r="C21" s="3">
        <f>IF($B21="","",IFERROR(VLOOKUP($B$3&amp;"|"&amp;TEXT($A21,"00"),Assemblies_DB!$E$2:$G$500,3,FALSE),""))</f>
        <v/>
      </c>
      <c r="D21" s="3">
        <f>IF($B21="","",$C21*$B$4)</f>
        <v/>
      </c>
      <c r="E21" s="9">
        <f>IFERROR(VLOOKUP($B21,Items_DB!$A$2:$F$500,4,FALSE),"")</f>
        <v/>
      </c>
      <c r="F21" s="3">
        <f>IFERROR(VLOOKUP($B21,Items_DB!$A$2:$F$500,5,FALSE),"")</f>
        <v/>
      </c>
      <c r="G21" s="6">
        <f>IFERROR(VLOOKUP($B21,Items_DB!$A$2:$F$500,6,FALSE),0)</f>
        <v/>
      </c>
      <c r="H21" s="6">
        <f>$D21*$G21</f>
        <v/>
      </c>
    </row>
    <row r="22">
      <c r="A22" s="3" t="n">
        <v>15</v>
      </c>
      <c r="B22" s="3">
        <f>IFERROR(VLOOKUP($B$3&amp;"|"&amp;TEXT($A22,"00"),Assemblies_DB!$E$2:$G$500,2,FALSE),"")</f>
        <v/>
      </c>
      <c r="C22" s="3">
        <f>IF($B22="","",IFERROR(VLOOKUP($B$3&amp;"|"&amp;TEXT($A22,"00"),Assemblies_DB!$E$2:$G$500,3,FALSE),""))</f>
        <v/>
      </c>
      <c r="D22" s="3">
        <f>IF($B22="","",$C22*$B$4)</f>
        <v/>
      </c>
      <c r="E22" s="9">
        <f>IFERROR(VLOOKUP($B22,Items_DB!$A$2:$F$500,4,FALSE),"")</f>
        <v/>
      </c>
      <c r="F22" s="3">
        <f>IFERROR(VLOOKUP($B22,Items_DB!$A$2:$F$500,5,FALSE),"")</f>
        <v/>
      </c>
      <c r="G22" s="6">
        <f>IFERROR(VLOOKUP($B22,Items_DB!$A$2:$F$500,6,FALSE),0)</f>
        <v/>
      </c>
      <c r="H22" s="6">
        <f>$D22*$G22</f>
        <v/>
      </c>
    </row>
    <row r="23">
      <c r="A23" s="3" t="n">
        <v>16</v>
      </c>
      <c r="B23" s="3">
        <f>IFERROR(VLOOKUP($B$3&amp;"|"&amp;TEXT($A23,"00"),Assemblies_DB!$E$2:$G$500,2,FALSE),"")</f>
        <v/>
      </c>
      <c r="C23" s="3">
        <f>IF($B23="","",IFERROR(VLOOKUP($B$3&amp;"|"&amp;TEXT($A23,"00"),Assemblies_DB!$E$2:$G$500,3,FALSE),""))</f>
        <v/>
      </c>
      <c r="D23" s="3">
        <f>IF($B23="","",$C23*$B$4)</f>
        <v/>
      </c>
      <c r="E23" s="9">
        <f>IFERROR(VLOOKUP($B23,Items_DB!$A$2:$F$500,4,FALSE),"")</f>
        <v/>
      </c>
      <c r="F23" s="3">
        <f>IFERROR(VLOOKUP($B23,Items_DB!$A$2:$F$500,5,FALSE),"")</f>
        <v/>
      </c>
      <c r="G23" s="6">
        <f>IFERROR(VLOOKUP($B23,Items_DB!$A$2:$F$500,6,FALSE),0)</f>
        <v/>
      </c>
      <c r="H23" s="6">
        <f>$D23*$G23</f>
        <v/>
      </c>
    </row>
    <row r="24">
      <c r="A24" s="3" t="n">
        <v>17</v>
      </c>
      <c r="B24" s="3">
        <f>IFERROR(VLOOKUP($B$3&amp;"|"&amp;TEXT($A24,"00"),Assemblies_DB!$E$2:$G$500,2,FALSE),"")</f>
        <v/>
      </c>
      <c r="C24" s="3">
        <f>IF($B24="","",IFERROR(VLOOKUP($B$3&amp;"|"&amp;TEXT($A24,"00"),Assemblies_DB!$E$2:$G$500,3,FALSE),""))</f>
        <v/>
      </c>
      <c r="D24" s="3">
        <f>IF($B24="","",$C24*$B$4)</f>
        <v/>
      </c>
      <c r="E24" s="9">
        <f>IFERROR(VLOOKUP($B24,Items_DB!$A$2:$F$500,4,FALSE),"")</f>
        <v/>
      </c>
      <c r="F24" s="3">
        <f>IFERROR(VLOOKUP($B24,Items_DB!$A$2:$F$500,5,FALSE),"")</f>
        <v/>
      </c>
      <c r="G24" s="6">
        <f>IFERROR(VLOOKUP($B24,Items_DB!$A$2:$F$500,6,FALSE),0)</f>
        <v/>
      </c>
      <c r="H24" s="6">
        <f>$D24*$G24</f>
        <v/>
      </c>
    </row>
    <row r="25">
      <c r="A25" s="3" t="n">
        <v>18</v>
      </c>
      <c r="B25" s="3">
        <f>IFERROR(VLOOKUP($B$3&amp;"|"&amp;TEXT($A25,"00"),Assemblies_DB!$E$2:$G$500,2,FALSE),"")</f>
        <v/>
      </c>
      <c r="C25" s="3">
        <f>IF($B25="","",IFERROR(VLOOKUP($B$3&amp;"|"&amp;TEXT($A25,"00"),Assemblies_DB!$E$2:$G$500,3,FALSE),""))</f>
        <v/>
      </c>
      <c r="D25" s="3">
        <f>IF($B25="","",$C25*$B$4)</f>
        <v/>
      </c>
      <c r="E25" s="9">
        <f>IFERROR(VLOOKUP($B25,Items_DB!$A$2:$F$500,4,FALSE),"")</f>
        <v/>
      </c>
      <c r="F25" s="3">
        <f>IFERROR(VLOOKUP($B25,Items_DB!$A$2:$F$500,5,FALSE),"")</f>
        <v/>
      </c>
      <c r="G25" s="6">
        <f>IFERROR(VLOOKUP($B25,Items_DB!$A$2:$F$500,6,FALSE),0)</f>
        <v/>
      </c>
      <c r="H25" s="6">
        <f>$D25*$G25</f>
        <v/>
      </c>
    </row>
    <row r="26">
      <c r="A26" s="3" t="n">
        <v>19</v>
      </c>
      <c r="B26" s="3">
        <f>IFERROR(VLOOKUP($B$3&amp;"|"&amp;TEXT($A26,"00"),Assemblies_DB!$E$2:$G$500,2,FALSE),"")</f>
        <v/>
      </c>
      <c r="C26" s="3">
        <f>IF($B26="","",IFERROR(VLOOKUP($B$3&amp;"|"&amp;TEXT($A26,"00"),Assemblies_DB!$E$2:$G$500,3,FALSE),""))</f>
        <v/>
      </c>
      <c r="D26" s="3">
        <f>IF($B26="","",$C26*$B$4)</f>
        <v/>
      </c>
      <c r="E26" s="9">
        <f>IFERROR(VLOOKUP($B26,Items_DB!$A$2:$F$500,4,FALSE),"")</f>
        <v/>
      </c>
      <c r="F26" s="3">
        <f>IFERROR(VLOOKUP($B26,Items_DB!$A$2:$F$500,5,FALSE),"")</f>
        <v/>
      </c>
      <c r="G26" s="6">
        <f>IFERROR(VLOOKUP($B26,Items_DB!$A$2:$F$500,6,FALSE),0)</f>
        <v/>
      </c>
      <c r="H26" s="6">
        <f>$D26*$G26</f>
        <v/>
      </c>
    </row>
    <row r="27">
      <c r="A27" s="3" t="n">
        <v>20</v>
      </c>
      <c r="B27" s="3">
        <f>IFERROR(VLOOKUP($B$3&amp;"|"&amp;TEXT($A27,"00"),Assemblies_DB!$E$2:$G$500,2,FALSE),"")</f>
        <v/>
      </c>
      <c r="C27" s="3">
        <f>IF($B27="","",IFERROR(VLOOKUP($B$3&amp;"|"&amp;TEXT($A27,"00"),Assemblies_DB!$E$2:$G$500,3,FALSE),""))</f>
        <v/>
      </c>
      <c r="D27" s="3">
        <f>IF($B27="","",$C27*$B$4)</f>
        <v/>
      </c>
      <c r="E27" s="9">
        <f>IFERROR(VLOOKUP($B27,Items_DB!$A$2:$F$500,4,FALSE),"")</f>
        <v/>
      </c>
      <c r="F27" s="3">
        <f>IFERROR(VLOOKUP($B27,Items_DB!$A$2:$F$500,5,FALSE),"")</f>
        <v/>
      </c>
      <c r="G27" s="6">
        <f>IFERROR(VLOOKUP($B27,Items_DB!$A$2:$F$500,6,FALSE),0)</f>
        <v/>
      </c>
      <c r="H27" s="6">
        <f>$D27*$G27</f>
        <v/>
      </c>
    </row>
    <row r="28">
      <c r="A28" s="3" t="n">
        <v>21</v>
      </c>
      <c r="B28" s="3">
        <f>IFERROR(VLOOKUP($B$3&amp;"|"&amp;TEXT($A28,"00"),Assemblies_DB!$E$2:$G$500,2,FALSE),"")</f>
        <v/>
      </c>
      <c r="C28" s="3">
        <f>IF($B28="","",IFERROR(VLOOKUP($B$3&amp;"|"&amp;TEXT($A28,"00"),Assemblies_DB!$E$2:$G$500,3,FALSE),""))</f>
        <v/>
      </c>
      <c r="D28" s="3">
        <f>IF($B28="","",$C28*$B$4)</f>
        <v/>
      </c>
      <c r="E28" s="9">
        <f>IFERROR(VLOOKUP($B28,Items_DB!$A$2:$F$500,4,FALSE),"")</f>
        <v/>
      </c>
      <c r="F28" s="3">
        <f>IFERROR(VLOOKUP($B28,Items_DB!$A$2:$F$500,5,FALSE),"")</f>
        <v/>
      </c>
      <c r="G28" s="6">
        <f>IFERROR(VLOOKUP($B28,Items_DB!$A$2:$F$500,6,FALSE),0)</f>
        <v/>
      </c>
      <c r="H28" s="6">
        <f>$D28*$G28</f>
        <v/>
      </c>
    </row>
    <row r="29">
      <c r="A29" s="3" t="n">
        <v>22</v>
      </c>
      <c r="B29" s="3">
        <f>IFERROR(VLOOKUP($B$3&amp;"|"&amp;TEXT($A29,"00"),Assemblies_DB!$E$2:$G$500,2,FALSE),"")</f>
        <v/>
      </c>
      <c r="C29" s="3">
        <f>IF($B29="","",IFERROR(VLOOKUP($B$3&amp;"|"&amp;TEXT($A29,"00"),Assemblies_DB!$E$2:$G$500,3,FALSE),""))</f>
        <v/>
      </c>
      <c r="D29" s="3">
        <f>IF($B29="","",$C29*$B$4)</f>
        <v/>
      </c>
      <c r="E29" s="9">
        <f>IFERROR(VLOOKUP($B29,Items_DB!$A$2:$F$500,4,FALSE),"")</f>
        <v/>
      </c>
      <c r="F29" s="3">
        <f>IFERROR(VLOOKUP($B29,Items_DB!$A$2:$F$500,5,FALSE),"")</f>
        <v/>
      </c>
      <c r="G29" s="6">
        <f>IFERROR(VLOOKUP($B29,Items_DB!$A$2:$F$500,6,FALSE),0)</f>
        <v/>
      </c>
      <c r="H29" s="6">
        <f>$D29*$G29</f>
        <v/>
      </c>
    </row>
    <row r="30">
      <c r="A30" s="3" t="n">
        <v>23</v>
      </c>
      <c r="B30" s="3">
        <f>IFERROR(VLOOKUP($B$3&amp;"|"&amp;TEXT($A30,"00"),Assemblies_DB!$E$2:$G$500,2,FALSE),"")</f>
        <v/>
      </c>
      <c r="C30" s="3">
        <f>IF($B30="","",IFERROR(VLOOKUP($B$3&amp;"|"&amp;TEXT($A30,"00"),Assemblies_DB!$E$2:$G$500,3,FALSE),""))</f>
        <v/>
      </c>
      <c r="D30" s="3">
        <f>IF($B30="","",$C30*$B$4)</f>
        <v/>
      </c>
      <c r="E30" s="9">
        <f>IFERROR(VLOOKUP($B30,Items_DB!$A$2:$F$500,4,FALSE),"")</f>
        <v/>
      </c>
      <c r="F30" s="3">
        <f>IFERROR(VLOOKUP($B30,Items_DB!$A$2:$F$500,5,FALSE),"")</f>
        <v/>
      </c>
      <c r="G30" s="6">
        <f>IFERROR(VLOOKUP($B30,Items_DB!$A$2:$F$500,6,FALSE),0)</f>
        <v/>
      </c>
      <c r="H30" s="6">
        <f>$D30*$G30</f>
        <v/>
      </c>
    </row>
    <row r="31">
      <c r="A31" s="3" t="n">
        <v>24</v>
      </c>
      <c r="B31" s="3">
        <f>IFERROR(VLOOKUP($B$3&amp;"|"&amp;TEXT($A31,"00"),Assemblies_DB!$E$2:$G$500,2,FALSE),"")</f>
        <v/>
      </c>
      <c r="C31" s="3">
        <f>IF($B31="","",IFERROR(VLOOKUP($B$3&amp;"|"&amp;TEXT($A31,"00"),Assemblies_DB!$E$2:$G$500,3,FALSE),""))</f>
        <v/>
      </c>
      <c r="D31" s="3">
        <f>IF($B31="","",$C31*$B$4)</f>
        <v/>
      </c>
      <c r="E31" s="9">
        <f>IFERROR(VLOOKUP($B31,Items_DB!$A$2:$F$500,4,FALSE),"")</f>
        <v/>
      </c>
      <c r="F31" s="3">
        <f>IFERROR(VLOOKUP($B31,Items_DB!$A$2:$F$500,5,FALSE),"")</f>
        <v/>
      </c>
      <c r="G31" s="6">
        <f>IFERROR(VLOOKUP($B31,Items_DB!$A$2:$F$500,6,FALSE),0)</f>
        <v/>
      </c>
      <c r="H31" s="6">
        <f>$D31*$G31</f>
        <v/>
      </c>
    </row>
    <row r="32">
      <c r="A32" s="3" t="n">
        <v>25</v>
      </c>
      <c r="B32" s="3">
        <f>IFERROR(VLOOKUP($B$3&amp;"|"&amp;TEXT($A32,"00"),Assemblies_DB!$E$2:$G$500,2,FALSE),"")</f>
        <v/>
      </c>
      <c r="C32" s="3">
        <f>IF($B32="","",IFERROR(VLOOKUP($B$3&amp;"|"&amp;TEXT($A32,"00"),Assemblies_DB!$E$2:$G$500,3,FALSE),""))</f>
        <v/>
      </c>
      <c r="D32" s="3">
        <f>IF($B32="","",$C32*$B$4)</f>
        <v/>
      </c>
      <c r="E32" s="9">
        <f>IFERROR(VLOOKUP($B32,Items_DB!$A$2:$F$500,4,FALSE),"")</f>
        <v/>
      </c>
      <c r="F32" s="3">
        <f>IFERROR(VLOOKUP($B32,Items_DB!$A$2:$F$500,5,FALSE),"")</f>
        <v/>
      </c>
      <c r="G32" s="6">
        <f>IFERROR(VLOOKUP($B32,Items_DB!$A$2:$F$500,6,FALSE),0)</f>
        <v/>
      </c>
      <c r="H32" s="6">
        <f>$D32*$G32</f>
        <v/>
      </c>
    </row>
  </sheetData>
  <dataValidations count="1">
    <dataValidation sqref="B3" showDropDown="0" showInputMessage="0" showErrorMessage="0" allowBlank="0" type="list">
      <formula1>=Inputs!$D$8:$D$20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2" customWidth="1" min="4" max="4"/>
    <col width="12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Estimate</t>
        </is>
      </c>
    </row>
    <row r="7">
      <c r="A7" s="7" t="inlineStr">
        <is>
          <t>Item_Code</t>
        </is>
      </c>
      <c r="B7" s="7" t="inlineStr">
        <is>
          <t>Description</t>
        </is>
      </c>
      <c r="C7" s="7" t="inlineStr">
        <is>
          <t>Unit</t>
        </is>
      </c>
      <c r="D7" s="7" t="inlineStr">
        <is>
          <t>Quantity</t>
        </is>
      </c>
      <c r="E7" s="7" t="inlineStr">
        <is>
          <t>Unit_Cost</t>
        </is>
      </c>
      <c r="F7" s="7" t="inlineStr">
        <is>
          <t>Line_Total</t>
        </is>
      </c>
      <c r="G7" s="7" t="inlineStr">
        <is>
          <t>Validation</t>
        </is>
      </c>
      <c r="H7" s="7" t="inlineStr">
        <is>
          <t>Month (YYYY-MM)</t>
        </is>
      </c>
    </row>
    <row r="8">
      <c r="A8" s="3" t="inlineStr">
        <is>
          <t>EXC-001</t>
        </is>
      </c>
      <c r="B8" s="9">
        <f>IFERROR(VLOOKUP($A8,Items_DB!$A$2:$F$500,4,FALSE),"")</f>
        <v/>
      </c>
      <c r="C8" s="3">
        <f>IFERROR(VLOOKUP($A8,Items_DB!$A$2:$F$500,5,FALSE),"")</f>
        <v/>
      </c>
      <c r="D8" s="3" t="n">
        <v>1</v>
      </c>
      <c r="E8" s="6">
        <f>IFERROR(VLOOKUP($A8,Items_DB!$A$2:$F$500,6,FALSE),0)</f>
        <v/>
      </c>
      <c r="F8" s="6">
        <f>$D8*$E8</f>
        <v/>
      </c>
      <c r="G8" s="3">
        <f>IF(AND($A8="", $D8&lt;&gt;""),"Missing Code",IF(AND($A8&lt;&gt;"",$D8=""),"Missing Qty","OK"))</f>
        <v/>
      </c>
      <c r="H8" s="3" t="inlineStr">
        <is>
          <t>2026-01</t>
        </is>
      </c>
    </row>
    <row r="9">
      <c r="A9" s="3" t="inlineStr">
        <is>
          <t>EXC-002</t>
        </is>
      </c>
      <c r="B9" s="9">
        <f>IFERROR(VLOOKUP($A9,Items_DB!$A$2:$F$500,4,FALSE),"")</f>
        <v/>
      </c>
      <c r="C9" s="3">
        <f>IFERROR(VLOOKUP($A9,Items_DB!$A$2:$F$500,5,FALSE),"")</f>
        <v/>
      </c>
      <c r="D9" s="3" t="n">
        <v>35</v>
      </c>
      <c r="E9" s="6">
        <f>IFERROR(VLOOKUP($A9,Items_DB!$A$2:$F$500,6,FALSE),0)</f>
        <v/>
      </c>
      <c r="F9" s="6">
        <f>$D9*$E9</f>
        <v/>
      </c>
      <c r="G9" s="3">
        <f>IF(AND($A9="", $D9&lt;&gt;""),"Missing Code",IF(AND($A9&lt;&gt;"",$D9=""),"Missing Qty","OK"))</f>
        <v/>
      </c>
      <c r="H9" s="3" t="inlineStr">
        <is>
          <t>2026-01</t>
        </is>
      </c>
    </row>
    <row r="10">
      <c r="A10" s="3" t="inlineStr">
        <is>
          <t>RBR-001</t>
        </is>
      </c>
      <c r="B10" s="9">
        <f>IFERROR(VLOOKUP($A10,Items_DB!$A$2:$F$500,4,FALSE),"")</f>
        <v/>
      </c>
      <c r="C10" s="3">
        <f>IFERROR(VLOOKUP($A10,Items_DB!$A$2:$F$500,5,FALSE),"")</f>
        <v/>
      </c>
      <c r="D10" s="3" t="n">
        <v>1200</v>
      </c>
      <c r="E10" s="6">
        <f>IFERROR(VLOOKUP($A10,Items_DB!$A$2:$F$500,6,FALSE),0)</f>
        <v/>
      </c>
      <c r="F10" s="6">
        <f>$D10*$E10</f>
        <v/>
      </c>
      <c r="G10" s="3">
        <f>IF(AND($A10="", $D10&lt;&gt;""),"Missing Code",IF(AND($A10&lt;&gt;"",$D10=""),"Missing Qty","OK"))</f>
        <v/>
      </c>
      <c r="H10" s="3" t="inlineStr">
        <is>
          <t>2026-01</t>
        </is>
      </c>
    </row>
    <row r="11">
      <c r="A11" s="3" t="n"/>
      <c r="B11" s="9">
        <f>IFERROR(VLOOKUP($A11,Items_DB!$A$2:$F$500,4,FALSE),"")</f>
        <v/>
      </c>
      <c r="C11" s="3">
        <f>IFERROR(VLOOKUP($A11,Items_DB!$A$2:$F$500,5,FALSE),"")</f>
        <v/>
      </c>
      <c r="D11" s="3" t="n"/>
      <c r="E11" s="6">
        <f>IFERROR(VLOOKUP($A11,Items_DB!$A$2:$F$500,6,FALSE),0)</f>
        <v/>
      </c>
      <c r="F11" s="6">
        <f>$D11*$E11</f>
        <v/>
      </c>
      <c r="G11" s="3">
        <f>IF(AND($A11="", $D11&lt;&gt;""),"Missing Code",IF(AND($A11&lt;&gt;"",$D11=""),"Missing Qty","OK"))</f>
        <v/>
      </c>
      <c r="H11" s="3" t="n"/>
    </row>
    <row r="12">
      <c r="A12" s="3" t="n"/>
      <c r="B12" s="9">
        <f>IFERROR(VLOOKUP($A12,Items_DB!$A$2:$F$500,4,FALSE),"")</f>
        <v/>
      </c>
      <c r="C12" s="3">
        <f>IFERROR(VLOOKUP($A12,Items_DB!$A$2:$F$500,5,FALSE),"")</f>
        <v/>
      </c>
      <c r="D12" s="3" t="n"/>
      <c r="E12" s="6">
        <f>IFERROR(VLOOKUP($A12,Items_DB!$A$2:$F$500,6,FALSE),0)</f>
        <v/>
      </c>
      <c r="F12" s="6">
        <f>$D12*$E12</f>
        <v/>
      </c>
      <c r="G12" s="3">
        <f>IF(AND($A12="", $D12&lt;&gt;""),"Missing Code",IF(AND($A12&lt;&gt;"",$D12=""),"Missing Qty","OK"))</f>
        <v/>
      </c>
      <c r="H12" s="3" t="n"/>
    </row>
    <row r="13">
      <c r="A13" s="3" t="n"/>
      <c r="B13" s="9">
        <f>IFERROR(VLOOKUP($A13,Items_DB!$A$2:$F$500,4,FALSE),"")</f>
        <v/>
      </c>
      <c r="C13" s="3">
        <f>IFERROR(VLOOKUP($A13,Items_DB!$A$2:$F$500,5,FALSE),"")</f>
        <v/>
      </c>
      <c r="D13" s="3" t="n"/>
      <c r="E13" s="6">
        <f>IFERROR(VLOOKUP($A13,Items_DB!$A$2:$F$500,6,FALSE),0)</f>
        <v/>
      </c>
      <c r="F13" s="6">
        <f>$D13*$E13</f>
        <v/>
      </c>
      <c r="G13" s="3">
        <f>IF(AND($A13="", $D13&lt;&gt;""),"Missing Code",IF(AND($A13&lt;&gt;"",$D13=""),"Missing Qty","OK"))</f>
        <v/>
      </c>
      <c r="H13" s="3" t="n"/>
    </row>
    <row r="14">
      <c r="A14" s="3" t="n"/>
      <c r="B14" s="9">
        <f>IFERROR(VLOOKUP($A14,Items_DB!$A$2:$F$500,4,FALSE),"")</f>
        <v/>
      </c>
      <c r="C14" s="3">
        <f>IFERROR(VLOOKUP($A14,Items_DB!$A$2:$F$500,5,FALSE),"")</f>
        <v/>
      </c>
      <c r="D14" s="3" t="n"/>
      <c r="E14" s="6">
        <f>IFERROR(VLOOKUP($A14,Items_DB!$A$2:$F$500,6,FALSE),0)</f>
        <v/>
      </c>
      <c r="F14" s="6">
        <f>$D14*$E14</f>
        <v/>
      </c>
      <c r="G14" s="3">
        <f>IF(AND($A14="", $D14&lt;&gt;""),"Missing Code",IF(AND($A14&lt;&gt;"",$D14=""),"Missing Qty","OK"))</f>
        <v/>
      </c>
      <c r="H14" s="3" t="n"/>
    </row>
    <row r="15">
      <c r="A15" s="3" t="n"/>
      <c r="B15" s="9">
        <f>IFERROR(VLOOKUP($A15,Items_DB!$A$2:$F$500,4,FALSE),"")</f>
        <v/>
      </c>
      <c r="C15" s="3">
        <f>IFERROR(VLOOKUP($A15,Items_DB!$A$2:$F$500,5,FALSE),"")</f>
        <v/>
      </c>
      <c r="D15" s="3" t="n"/>
      <c r="E15" s="6">
        <f>IFERROR(VLOOKUP($A15,Items_DB!$A$2:$F$500,6,FALSE),0)</f>
        <v/>
      </c>
      <c r="F15" s="6">
        <f>$D15*$E15</f>
        <v/>
      </c>
      <c r="G15" s="3">
        <f>IF(AND($A15="", $D15&lt;&gt;""),"Missing Code",IF(AND($A15&lt;&gt;"",$D15=""),"Missing Qty","OK"))</f>
        <v/>
      </c>
      <c r="H15" s="3" t="n"/>
    </row>
    <row r="16">
      <c r="A16" s="3" t="n"/>
      <c r="B16" s="9">
        <f>IFERROR(VLOOKUP($A16,Items_DB!$A$2:$F$500,4,FALSE),"")</f>
        <v/>
      </c>
      <c r="C16" s="3">
        <f>IFERROR(VLOOKUP($A16,Items_DB!$A$2:$F$500,5,FALSE),"")</f>
        <v/>
      </c>
      <c r="D16" s="3" t="n"/>
      <c r="E16" s="6">
        <f>IFERROR(VLOOKUP($A16,Items_DB!$A$2:$F$500,6,FALSE),0)</f>
        <v/>
      </c>
      <c r="F16" s="6">
        <f>$D16*$E16</f>
        <v/>
      </c>
      <c r="G16" s="3">
        <f>IF(AND($A16="", $D16&lt;&gt;""),"Missing Code",IF(AND($A16&lt;&gt;"",$D16=""),"Missing Qty","OK"))</f>
        <v/>
      </c>
      <c r="H16" s="3" t="n"/>
    </row>
    <row r="17">
      <c r="A17" s="3" t="n"/>
      <c r="B17" s="9">
        <f>IFERROR(VLOOKUP($A17,Items_DB!$A$2:$F$500,4,FALSE),"")</f>
        <v/>
      </c>
      <c r="C17" s="3">
        <f>IFERROR(VLOOKUP($A17,Items_DB!$A$2:$F$500,5,FALSE),"")</f>
        <v/>
      </c>
      <c r="D17" s="3" t="n"/>
      <c r="E17" s="6">
        <f>IFERROR(VLOOKUP($A17,Items_DB!$A$2:$F$500,6,FALSE),0)</f>
        <v/>
      </c>
      <c r="F17" s="6">
        <f>$D17*$E17</f>
        <v/>
      </c>
      <c r="G17" s="3">
        <f>IF(AND($A17="", $D17&lt;&gt;""),"Missing Code",IF(AND($A17&lt;&gt;"",$D17=""),"Missing Qty","OK"))</f>
        <v/>
      </c>
      <c r="H17" s="3" t="n"/>
    </row>
    <row r="18">
      <c r="A18" s="3" t="n"/>
      <c r="B18" s="9">
        <f>IFERROR(VLOOKUP($A18,Items_DB!$A$2:$F$500,4,FALSE),"")</f>
        <v/>
      </c>
      <c r="C18" s="3">
        <f>IFERROR(VLOOKUP($A18,Items_DB!$A$2:$F$500,5,FALSE),"")</f>
        <v/>
      </c>
      <c r="D18" s="3" t="n"/>
      <c r="E18" s="6">
        <f>IFERROR(VLOOKUP($A18,Items_DB!$A$2:$F$500,6,FALSE),0)</f>
        <v/>
      </c>
      <c r="F18" s="6">
        <f>$D18*$E18</f>
        <v/>
      </c>
      <c r="G18" s="3">
        <f>IF(AND($A18="", $D18&lt;&gt;""),"Missing Code",IF(AND($A18&lt;&gt;"",$D18=""),"Missing Qty","OK"))</f>
        <v/>
      </c>
      <c r="H18" s="3" t="n"/>
    </row>
    <row r="19">
      <c r="A19" s="3" t="n"/>
      <c r="B19" s="9">
        <f>IFERROR(VLOOKUP($A19,Items_DB!$A$2:$F$500,4,FALSE),"")</f>
        <v/>
      </c>
      <c r="C19" s="3">
        <f>IFERROR(VLOOKUP($A19,Items_DB!$A$2:$F$500,5,FALSE),"")</f>
        <v/>
      </c>
      <c r="D19" s="3" t="n"/>
      <c r="E19" s="6">
        <f>IFERROR(VLOOKUP($A19,Items_DB!$A$2:$F$500,6,FALSE),0)</f>
        <v/>
      </c>
      <c r="F19" s="6">
        <f>$D19*$E19</f>
        <v/>
      </c>
      <c r="G19" s="3">
        <f>IF(AND($A19="", $D19&lt;&gt;""),"Missing Code",IF(AND($A19&lt;&gt;"",$D19=""),"Missing Qty","OK"))</f>
        <v/>
      </c>
      <c r="H19" s="3" t="n"/>
    </row>
    <row r="20">
      <c r="A20" s="3" t="n"/>
      <c r="B20" s="9">
        <f>IFERROR(VLOOKUP($A20,Items_DB!$A$2:$F$500,4,FALSE),"")</f>
        <v/>
      </c>
      <c r="C20" s="3">
        <f>IFERROR(VLOOKUP($A20,Items_DB!$A$2:$F$500,5,FALSE),"")</f>
        <v/>
      </c>
      <c r="D20" s="3" t="n"/>
      <c r="E20" s="6">
        <f>IFERROR(VLOOKUP($A20,Items_DB!$A$2:$F$500,6,FALSE),0)</f>
        <v/>
      </c>
      <c r="F20" s="6">
        <f>$D20*$E20</f>
        <v/>
      </c>
      <c r="G20" s="3">
        <f>IF(AND($A20="", $D20&lt;&gt;""),"Missing Code",IF(AND($A20&lt;&gt;"",$D20=""),"Missing Qty","OK"))</f>
        <v/>
      </c>
      <c r="H20" s="3" t="n"/>
    </row>
    <row r="21">
      <c r="A21" s="3" t="n"/>
      <c r="B21" s="9">
        <f>IFERROR(VLOOKUP($A21,Items_DB!$A$2:$F$500,4,FALSE),"")</f>
        <v/>
      </c>
      <c r="C21" s="3">
        <f>IFERROR(VLOOKUP($A21,Items_DB!$A$2:$F$500,5,FALSE),"")</f>
        <v/>
      </c>
      <c r="D21" s="3" t="n"/>
      <c r="E21" s="6">
        <f>IFERROR(VLOOKUP($A21,Items_DB!$A$2:$F$500,6,FALSE),0)</f>
        <v/>
      </c>
      <c r="F21" s="6">
        <f>$D21*$E21</f>
        <v/>
      </c>
      <c r="G21" s="3">
        <f>IF(AND($A21="", $D21&lt;&gt;""),"Missing Code",IF(AND($A21&lt;&gt;"",$D21=""),"Missing Qty","OK"))</f>
        <v/>
      </c>
      <c r="H21" s="3" t="n"/>
    </row>
    <row r="22">
      <c r="A22" s="3" t="n"/>
      <c r="B22" s="9">
        <f>IFERROR(VLOOKUP($A22,Items_DB!$A$2:$F$500,4,FALSE),"")</f>
        <v/>
      </c>
      <c r="C22" s="3">
        <f>IFERROR(VLOOKUP($A22,Items_DB!$A$2:$F$500,5,FALSE),"")</f>
        <v/>
      </c>
      <c r="D22" s="3" t="n"/>
      <c r="E22" s="6">
        <f>IFERROR(VLOOKUP($A22,Items_DB!$A$2:$F$500,6,FALSE),0)</f>
        <v/>
      </c>
      <c r="F22" s="6">
        <f>$D22*$E22</f>
        <v/>
      </c>
      <c r="G22" s="3">
        <f>IF(AND($A22="", $D22&lt;&gt;""),"Missing Code",IF(AND($A22&lt;&gt;"",$D22=""),"Missing Qty","OK"))</f>
        <v/>
      </c>
      <c r="H22" s="3" t="n"/>
    </row>
    <row r="23">
      <c r="A23" s="3" t="n"/>
      <c r="B23" s="9">
        <f>IFERROR(VLOOKUP($A23,Items_DB!$A$2:$F$500,4,FALSE),"")</f>
        <v/>
      </c>
      <c r="C23" s="3">
        <f>IFERROR(VLOOKUP($A23,Items_DB!$A$2:$F$500,5,FALSE),"")</f>
        <v/>
      </c>
      <c r="D23" s="3" t="n"/>
      <c r="E23" s="6">
        <f>IFERROR(VLOOKUP($A23,Items_DB!$A$2:$F$500,6,FALSE),0)</f>
        <v/>
      </c>
      <c r="F23" s="6">
        <f>$D23*$E23</f>
        <v/>
      </c>
      <c r="G23" s="3">
        <f>IF(AND($A23="", $D23&lt;&gt;""),"Missing Code",IF(AND($A23&lt;&gt;"",$D23=""),"Missing Qty","OK"))</f>
        <v/>
      </c>
      <c r="H23" s="3" t="n"/>
    </row>
    <row r="24">
      <c r="A24" s="3" t="n"/>
      <c r="B24" s="9">
        <f>IFERROR(VLOOKUP($A24,Items_DB!$A$2:$F$500,4,FALSE),"")</f>
        <v/>
      </c>
      <c r="C24" s="3">
        <f>IFERROR(VLOOKUP($A24,Items_DB!$A$2:$F$500,5,FALSE),"")</f>
        <v/>
      </c>
      <c r="D24" s="3" t="n"/>
      <c r="E24" s="6">
        <f>IFERROR(VLOOKUP($A24,Items_DB!$A$2:$F$500,6,FALSE),0)</f>
        <v/>
      </c>
      <c r="F24" s="6">
        <f>$D24*$E24</f>
        <v/>
      </c>
      <c r="G24" s="3">
        <f>IF(AND($A24="", $D24&lt;&gt;""),"Missing Code",IF(AND($A24&lt;&gt;"",$D24=""),"Missing Qty","OK"))</f>
        <v/>
      </c>
      <c r="H24" s="3" t="n"/>
    </row>
    <row r="25">
      <c r="A25" s="3" t="n"/>
      <c r="B25" s="9">
        <f>IFERROR(VLOOKUP($A25,Items_DB!$A$2:$F$500,4,FALSE),"")</f>
        <v/>
      </c>
      <c r="C25" s="3">
        <f>IFERROR(VLOOKUP($A25,Items_DB!$A$2:$F$500,5,FALSE),"")</f>
        <v/>
      </c>
      <c r="D25" s="3" t="n"/>
      <c r="E25" s="6">
        <f>IFERROR(VLOOKUP($A25,Items_DB!$A$2:$F$500,6,FALSE),0)</f>
        <v/>
      </c>
      <c r="F25" s="6">
        <f>$D25*$E25</f>
        <v/>
      </c>
      <c r="G25" s="3">
        <f>IF(AND($A25="", $D25&lt;&gt;""),"Missing Code",IF(AND($A25&lt;&gt;"",$D25=""),"Missing Qty","OK"))</f>
        <v/>
      </c>
      <c r="H25" s="3" t="n"/>
    </row>
    <row r="26">
      <c r="A26" s="3" t="n"/>
      <c r="B26" s="9">
        <f>IFERROR(VLOOKUP($A26,Items_DB!$A$2:$F$500,4,FALSE),"")</f>
        <v/>
      </c>
      <c r="C26" s="3">
        <f>IFERROR(VLOOKUP($A26,Items_DB!$A$2:$F$500,5,FALSE),"")</f>
        <v/>
      </c>
      <c r="D26" s="3" t="n"/>
      <c r="E26" s="6">
        <f>IFERROR(VLOOKUP($A26,Items_DB!$A$2:$F$500,6,FALSE),0)</f>
        <v/>
      </c>
      <c r="F26" s="6">
        <f>$D26*$E26</f>
        <v/>
      </c>
      <c r="G26" s="3">
        <f>IF(AND($A26="", $D26&lt;&gt;""),"Missing Code",IF(AND($A26&lt;&gt;"",$D26=""),"Missing Qty","OK"))</f>
        <v/>
      </c>
      <c r="H26" s="3" t="n"/>
    </row>
    <row r="27">
      <c r="A27" s="3" t="n"/>
      <c r="B27" s="9">
        <f>IFERROR(VLOOKUP($A27,Items_DB!$A$2:$F$500,4,FALSE),"")</f>
        <v/>
      </c>
      <c r="C27" s="3">
        <f>IFERROR(VLOOKUP($A27,Items_DB!$A$2:$F$500,5,FALSE),"")</f>
        <v/>
      </c>
      <c r="D27" s="3" t="n"/>
      <c r="E27" s="6">
        <f>IFERROR(VLOOKUP($A27,Items_DB!$A$2:$F$500,6,FALSE),0)</f>
        <v/>
      </c>
      <c r="F27" s="6">
        <f>$D27*$E27</f>
        <v/>
      </c>
      <c r="G27" s="3">
        <f>IF(AND($A27="", $D27&lt;&gt;""),"Missing Code",IF(AND($A27&lt;&gt;"",$D27=""),"Missing Qty","OK"))</f>
        <v/>
      </c>
      <c r="H27" s="3" t="n"/>
    </row>
    <row r="28">
      <c r="A28" s="3" t="n"/>
      <c r="B28" s="9">
        <f>IFERROR(VLOOKUP($A28,Items_DB!$A$2:$F$500,4,FALSE),"")</f>
        <v/>
      </c>
      <c r="C28" s="3">
        <f>IFERROR(VLOOKUP($A28,Items_DB!$A$2:$F$500,5,FALSE),"")</f>
        <v/>
      </c>
      <c r="D28" s="3" t="n"/>
      <c r="E28" s="6">
        <f>IFERROR(VLOOKUP($A28,Items_DB!$A$2:$F$500,6,FALSE),0)</f>
        <v/>
      </c>
      <c r="F28" s="6">
        <f>$D28*$E28</f>
        <v/>
      </c>
      <c r="G28" s="3">
        <f>IF(AND($A28="", $D28&lt;&gt;""),"Missing Code",IF(AND($A28&lt;&gt;"",$D28=""),"Missing Qty","OK"))</f>
        <v/>
      </c>
      <c r="H28" s="3" t="n"/>
    </row>
    <row r="29">
      <c r="A29" s="3" t="n"/>
      <c r="B29" s="9">
        <f>IFERROR(VLOOKUP($A29,Items_DB!$A$2:$F$500,4,FALSE),"")</f>
        <v/>
      </c>
      <c r="C29" s="3">
        <f>IFERROR(VLOOKUP($A29,Items_DB!$A$2:$F$500,5,FALSE),"")</f>
        <v/>
      </c>
      <c r="D29" s="3" t="n"/>
      <c r="E29" s="6">
        <f>IFERROR(VLOOKUP($A29,Items_DB!$A$2:$F$500,6,FALSE),0)</f>
        <v/>
      </c>
      <c r="F29" s="6">
        <f>$D29*$E29</f>
        <v/>
      </c>
      <c r="G29" s="3">
        <f>IF(AND($A29="", $D29&lt;&gt;""),"Missing Code",IF(AND($A29&lt;&gt;"",$D29=""),"Missing Qty","OK"))</f>
        <v/>
      </c>
      <c r="H29" s="3" t="n"/>
    </row>
    <row r="30">
      <c r="A30" s="3" t="n"/>
      <c r="B30" s="9">
        <f>IFERROR(VLOOKUP($A30,Items_DB!$A$2:$F$500,4,FALSE),"")</f>
        <v/>
      </c>
      <c r="C30" s="3">
        <f>IFERROR(VLOOKUP($A30,Items_DB!$A$2:$F$500,5,FALSE),"")</f>
        <v/>
      </c>
      <c r="D30" s="3" t="n"/>
      <c r="E30" s="6">
        <f>IFERROR(VLOOKUP($A30,Items_DB!$A$2:$F$500,6,FALSE),0)</f>
        <v/>
      </c>
      <c r="F30" s="6">
        <f>$D30*$E30</f>
        <v/>
      </c>
      <c r="G30" s="3">
        <f>IF(AND($A30="", $D30&lt;&gt;""),"Missing Code",IF(AND($A30&lt;&gt;"",$D30=""),"Missing Qty","OK"))</f>
        <v/>
      </c>
      <c r="H30" s="3" t="n"/>
    </row>
    <row r="31">
      <c r="A31" s="3" t="n"/>
      <c r="B31" s="9">
        <f>IFERROR(VLOOKUP($A31,Items_DB!$A$2:$F$500,4,FALSE),"")</f>
        <v/>
      </c>
      <c r="C31" s="3">
        <f>IFERROR(VLOOKUP($A31,Items_DB!$A$2:$F$500,5,FALSE),"")</f>
        <v/>
      </c>
      <c r="D31" s="3" t="n"/>
      <c r="E31" s="6">
        <f>IFERROR(VLOOKUP($A31,Items_DB!$A$2:$F$500,6,FALSE),0)</f>
        <v/>
      </c>
      <c r="F31" s="6">
        <f>$D31*$E31</f>
        <v/>
      </c>
      <c r="G31" s="3">
        <f>IF(AND($A31="", $D31&lt;&gt;""),"Missing Code",IF(AND($A31&lt;&gt;"",$D31=""),"Missing Qty","OK"))</f>
        <v/>
      </c>
      <c r="H31" s="3" t="n"/>
    </row>
    <row r="32">
      <c r="A32" s="3" t="n"/>
      <c r="B32" s="9">
        <f>IFERROR(VLOOKUP($A32,Items_DB!$A$2:$F$500,4,FALSE),"")</f>
        <v/>
      </c>
      <c r="C32" s="3">
        <f>IFERROR(VLOOKUP($A32,Items_DB!$A$2:$F$500,5,FALSE),"")</f>
        <v/>
      </c>
      <c r="D32" s="3" t="n"/>
      <c r="E32" s="6">
        <f>IFERROR(VLOOKUP($A32,Items_DB!$A$2:$F$500,6,FALSE),0)</f>
        <v/>
      </c>
      <c r="F32" s="6">
        <f>$D32*$E32</f>
        <v/>
      </c>
      <c r="G32" s="3">
        <f>IF(AND($A32="", $D32&lt;&gt;""),"Missing Code",IF(AND($A32&lt;&gt;"",$D32=""),"Missing Qty","OK"))</f>
        <v/>
      </c>
      <c r="H32" s="3" t="n"/>
    </row>
    <row r="33">
      <c r="A33" s="3" t="n"/>
      <c r="B33" s="9">
        <f>IFERROR(VLOOKUP($A33,Items_DB!$A$2:$F$500,4,FALSE),"")</f>
        <v/>
      </c>
      <c r="C33" s="3">
        <f>IFERROR(VLOOKUP($A33,Items_DB!$A$2:$F$500,5,FALSE),"")</f>
        <v/>
      </c>
      <c r="D33" s="3" t="n"/>
      <c r="E33" s="6">
        <f>IFERROR(VLOOKUP($A33,Items_DB!$A$2:$F$500,6,FALSE),0)</f>
        <v/>
      </c>
      <c r="F33" s="6">
        <f>$D33*$E33</f>
        <v/>
      </c>
      <c r="G33" s="3">
        <f>IF(AND($A33="", $D33&lt;&gt;""),"Missing Code",IF(AND($A33&lt;&gt;"",$D33=""),"Missing Qty","OK"))</f>
        <v/>
      </c>
      <c r="H33" s="3" t="n"/>
    </row>
    <row r="36">
      <c r="F36" s="2" t="inlineStr">
        <is>
          <t>Subtotal (Direct Costs)</t>
        </is>
      </c>
      <c r="G36" s="6">
        <f>SUM(F8:F33)</f>
        <v/>
      </c>
    </row>
    <row r="37">
      <c r="F37" s="2" t="inlineStr">
        <is>
          <t>Overhead</t>
        </is>
      </c>
      <c r="G37" s="6">
        <f>IF(Inputs!$B$8="Weekly",Inputs!$B$10*Inputs!$B$11,G36*Inputs!$B$9)</f>
        <v/>
      </c>
    </row>
    <row r="38">
      <c r="F38" s="2" t="inlineStr">
        <is>
          <t>Profit</t>
        </is>
      </c>
      <c r="G38" s="6">
        <f>(G36+G37)*Inputs!$B$12</f>
        <v/>
      </c>
    </row>
    <row r="39">
      <c r="F39" s="2" t="inlineStr">
        <is>
          <t>Tax</t>
        </is>
      </c>
      <c r="G39" s="6">
        <f>(G36+G37+G38)*Inputs!$B$13</f>
        <v/>
      </c>
    </row>
    <row r="40">
      <c r="F40" s="2" t="inlineStr">
        <is>
          <t>Grand Total</t>
        </is>
      </c>
      <c r="G40" s="6">
        <f>SUM(G36:G39)</f>
        <v/>
      </c>
    </row>
  </sheetData>
  <conditionalFormatting sqref="A8:H33">
    <cfRule type="expression" priority="1" dxfId="0">
      <formula>$G8&lt;&gt;"OK"</formula>
    </cfRule>
  </conditionalFormatting>
  <dataValidations count="3">
    <dataValidation sqref="A8 A9 A10 A11 A12 A13 A14 A15 A16 A17 A18 A19 A20 A21 A22 A23 A24 A25 A26 A27 A28 A29 A30 A31 A32 A33" showDropDown="0" showInputMessage="0" showErrorMessage="0" allowBlank="1" type="list">
      <formula1>=Items_DB!$A$2:$A$500</formula1>
    </dataValidation>
    <dataValidation sqref="D8 D9 D10 D11 D12 D13 D14 D15 D16 D17 D18 D19 D20 D21 D22 D23 D24 D25 D26 D27 D28 D29 D30 D31 D32 D33" showDropDown="0" showInputMessage="0" showErrorMessage="0" allowBlank="1" type="decimal" operator="greaterThan">
      <formula1>0</formula1>
    </dataValidation>
    <dataValidation sqref="H8 H9 H10 H11 H12 H13 H14 H15 H16 H17 H18 H19 H20 H21 H22 H23 H24 H25 H26 H27 H28 H29 H30 H31 H32 H33" showDropDown="0" showInputMessage="0" showErrorMessage="0" allowBlank="1" type="list">
      <formula1>=Inputs!$F$5:$F$16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Instructions</t>
        </is>
      </c>
    </row>
    <row r="3">
      <c r="A3" t="inlineStr">
        <is>
          <t>Locale-safe workbook: formulas are stored using English function names and comma separators.</t>
        </is>
      </c>
    </row>
    <row r="4">
      <c r="A4" t="inlineStr">
        <is>
          <t>Excel will display formulas translated to your locale automatically.</t>
        </is>
      </c>
    </row>
    <row r="6">
      <c r="A6" t="inlineStr">
        <is>
          <t>Review flow: Inputs → Assembly_Builder (select assembly, set multiplier) → copy Item_Code &amp; Qty into Estimate.</t>
        </is>
      </c>
    </row>
    <row r="8">
      <c r="A8" t="inlineStr">
        <is>
          <t>Units: LS, EA, LF/LM, SF/m², CY/m³, LB/TON, HR/DAY/WK, GAL/L,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2026-01-22T16:27:46Z</dcterms:created>
  <dcterms:modified xmlns:dcterms="http://purl.org/dc/terms/" xmlns:xsi="http://www.w3.org/2001/XMLSchema-instance" xsi:type="dcterms:W3CDTF">2026-01-22T16:27:46Z</dcterms:modified>
</cp:coreProperties>
</file>